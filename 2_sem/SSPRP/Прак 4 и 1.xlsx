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3BE3DA\maga\2_sem\SSPRP\"/>
    </mc:Choice>
  </mc:AlternateContent>
  <xr:revisionPtr revIDLastSave="0" documentId="13_ncr:1_{95F56723-E470-4772-9C63-03846BE833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8" i="1" l="1"/>
  <c r="AS7" i="1"/>
  <c r="AO7" i="1"/>
  <c r="BA23" i="1"/>
  <c r="AL26" i="1"/>
  <c r="AO31" i="1"/>
  <c r="AK32" i="1"/>
  <c r="AM32" i="1"/>
  <c r="AN26" i="1"/>
  <c r="AN18" i="1"/>
  <c r="AM35" i="1"/>
  <c r="AN35" i="1" s="1"/>
  <c r="AM26" i="1"/>
  <c r="AM18" i="1"/>
  <c r="AN11" i="1"/>
  <c r="AM11" i="1"/>
  <c r="BE14" i="1"/>
  <c r="BD14" i="1"/>
  <c r="BC14" i="1"/>
  <c r="BB14" i="1"/>
  <c r="BA14" i="1"/>
  <c r="AT42" i="1"/>
  <c r="AV40" i="1"/>
  <c r="AT39" i="1"/>
  <c r="AW39" i="1" s="1"/>
  <c r="AS40" i="1"/>
  <c r="AU34" i="1"/>
  <c r="AV33" i="1"/>
  <c r="AW33" i="1" s="1"/>
  <c r="AV32" i="1"/>
  <c r="AW32" i="1" s="1"/>
  <c r="AT34" i="1"/>
  <c r="AW34" i="1" s="1"/>
  <c r="AV23" i="1"/>
  <c r="AW23" i="1" s="1"/>
  <c r="AT25" i="1"/>
  <c r="AW42" i="1"/>
  <c r="AW41" i="1"/>
  <c r="AW40" i="1"/>
  <c r="AW31" i="1"/>
  <c r="AW22" i="1"/>
  <c r="AW16" i="1"/>
  <c r="AW17" i="1"/>
  <c r="AW15" i="1"/>
  <c r="AW14" i="1"/>
  <c r="AN7" i="1"/>
  <c r="AL33" i="1"/>
  <c r="AN33" i="1" s="1"/>
  <c r="AN32" i="1"/>
  <c r="AO32" i="1" s="1"/>
  <c r="AL24" i="1"/>
  <c r="AN24" i="1" s="1"/>
  <c r="AM23" i="1"/>
  <c r="AK15" i="1"/>
  <c r="AN15" i="1" s="1"/>
  <c r="AN31" i="1"/>
  <c r="AN23" i="1"/>
  <c r="AN22" i="1"/>
  <c r="AN16" i="1"/>
  <c r="AN14" i="1"/>
  <c r="AN8" i="1"/>
  <c r="AN9" i="1"/>
  <c r="K8" i="1"/>
  <c r="L5" i="1"/>
  <c r="L8" i="1" s="1"/>
  <c r="J7" i="1"/>
  <c r="J8" i="1" s="1"/>
  <c r="E31" i="1"/>
  <c r="C31" i="1"/>
  <c r="B31" i="1"/>
  <c r="D31" i="1"/>
  <c r="E21" i="1"/>
  <c r="C21" i="1"/>
  <c r="B21" i="1"/>
  <c r="D21" i="1"/>
  <c r="C9" i="1"/>
  <c r="E9" i="1"/>
  <c r="B9" i="1"/>
  <c r="D6" i="1"/>
  <c r="D9" i="1" s="1"/>
  <c r="AV24" i="1" l="1"/>
  <c r="AW24" i="1" s="1"/>
  <c r="AX16" i="1"/>
  <c r="AX17" i="1"/>
  <c r="AU25" i="1"/>
  <c r="AX41" i="1"/>
  <c r="BC17" i="1" s="1"/>
  <c r="AX42" i="1"/>
  <c r="BD17" i="1" s="1"/>
  <c r="AX40" i="1"/>
  <c r="BB17" i="1" s="1"/>
  <c r="AX39" i="1"/>
  <c r="AX32" i="1"/>
  <c r="BB16" i="1" s="1"/>
  <c r="AX33" i="1"/>
  <c r="BC16" i="1" s="1"/>
  <c r="AX31" i="1"/>
  <c r="BA16" i="1" s="1"/>
  <c r="AX34" i="1"/>
  <c r="BD16" i="1" s="1"/>
  <c r="AW25" i="1"/>
  <c r="AX23" i="1" s="1"/>
  <c r="BB15" i="1" s="1"/>
  <c r="AX15" i="1"/>
  <c r="AX14" i="1"/>
  <c r="AO33" i="1"/>
  <c r="AO24" i="1"/>
  <c r="AU8" i="1" s="1"/>
  <c r="AO8" i="1"/>
  <c r="AO22" i="1"/>
  <c r="AS8" i="1" s="1"/>
  <c r="AO23" i="1"/>
  <c r="AT8" i="1" s="1"/>
  <c r="AU9" i="1"/>
  <c r="BA25" i="1" s="1"/>
  <c r="K15" i="1"/>
  <c r="AO9" i="1"/>
  <c r="J15" i="1"/>
  <c r="AO15" i="1"/>
  <c r="AT7" i="1" s="1"/>
  <c r="AO14" i="1"/>
  <c r="AO16" i="1"/>
  <c r="AV7" i="1" s="1"/>
  <c r="K22" i="1"/>
  <c r="M8" i="1"/>
  <c r="L15" i="1"/>
  <c r="L22" i="1"/>
  <c r="M22" i="1"/>
  <c r="M15" i="1"/>
  <c r="J22" i="1"/>
  <c r="F31" i="1"/>
  <c r="F21" i="1"/>
  <c r="F9" i="1"/>
  <c r="AT9" i="1" l="1"/>
  <c r="BA24" i="1" s="1"/>
  <c r="AV9" i="1"/>
  <c r="BA26" i="1" s="1"/>
  <c r="AL35" i="1"/>
  <c r="AX43" i="1"/>
  <c r="BA17" i="1"/>
  <c r="BE16" i="1"/>
  <c r="AO17" i="1"/>
  <c r="AW7" i="1"/>
  <c r="AO25" i="1"/>
  <c r="AW8" i="1"/>
  <c r="AW9" i="1"/>
  <c r="AX24" i="1"/>
  <c r="BC15" i="1" s="1"/>
  <c r="BA33" i="1" s="1"/>
  <c r="AX25" i="1"/>
  <c r="BD15" i="1" s="1"/>
  <c r="AX18" i="1"/>
  <c r="AX22" i="1"/>
  <c r="AX35" i="1"/>
  <c r="AO10" i="1"/>
  <c r="AO34" i="1"/>
  <c r="BA27" i="1" l="1"/>
  <c r="BA32" i="1"/>
  <c r="BA34" i="1"/>
  <c r="BE17" i="1"/>
  <c r="AX26" i="1"/>
  <c r="BA15" i="1"/>
  <c r="BE15" i="1" l="1"/>
  <c r="BA31" i="1"/>
  <c r="BA35" i="1" s="1"/>
</calcChain>
</file>

<file path=xl/sharedStrings.xml><?xml version="1.0" encoding="utf-8"?>
<sst xmlns="http://schemas.openxmlformats.org/spreadsheetml/2006/main" count="181" uniqueCount="50">
  <si>
    <t>Потапов</t>
  </si>
  <si>
    <t>Зенечев</t>
  </si>
  <si>
    <t>Журавлев</t>
  </si>
  <si>
    <t>Гаджиев</t>
  </si>
  <si>
    <t>Успеваемость</t>
  </si>
  <si>
    <t>Aij = Akj / Aki</t>
  </si>
  <si>
    <t>A32 / A31</t>
  </si>
  <si>
    <t>/5</t>
  </si>
  <si>
    <t>Степень</t>
  </si>
  <si>
    <t>Посещаемость</t>
  </si>
  <si>
    <t>Харизма</t>
  </si>
  <si>
    <t>Решение при равновесных</t>
  </si>
  <si>
    <t>Решение при неравновесных</t>
  </si>
  <si>
    <t>4 место</t>
  </si>
  <si>
    <t>3 место</t>
  </si>
  <si>
    <t>2 место</t>
  </si>
  <si>
    <t>1 место</t>
  </si>
  <si>
    <t>Кто оказывает больше влияния на выбор?</t>
  </si>
  <si>
    <t>Отец</t>
  </si>
  <si>
    <t>Мать</t>
  </si>
  <si>
    <t>Ребенок</t>
  </si>
  <si>
    <t>W</t>
  </si>
  <si>
    <t>Хоррор</t>
  </si>
  <si>
    <t>Комедия</t>
  </si>
  <si>
    <t>Боевки</t>
  </si>
  <si>
    <t>Драма</t>
  </si>
  <si>
    <t>Общая матрица приоритетов</t>
  </si>
  <si>
    <t>W не нормированные</t>
  </si>
  <si>
    <t>Пила</t>
  </si>
  <si>
    <t>Ирония судьбы или с легким паром</t>
  </si>
  <si>
    <t>Рокки</t>
  </si>
  <si>
    <t>Елки 18</t>
  </si>
  <si>
    <t>Боевик</t>
  </si>
  <si>
    <t>Иерархический синтез</t>
  </si>
  <si>
    <t>w(0,1)</t>
  </si>
  <si>
    <t>w(1,2)</t>
  </si>
  <si>
    <t>w(2,3)</t>
  </si>
  <si>
    <t>P[Хоррор]</t>
  </si>
  <si>
    <t>P[Комедия]</t>
  </si>
  <si>
    <t>P[Драма]</t>
  </si>
  <si>
    <t>P[Боевик]</t>
  </si>
  <si>
    <t>P x w(2,3)</t>
  </si>
  <si>
    <t>P = w(0,1) x w(1,2)</t>
  </si>
  <si>
    <t>z(Пила)</t>
  </si>
  <si>
    <t>z(Ирония судьбы)</t>
  </si>
  <si>
    <t>z(Рокки)</t>
  </si>
  <si>
    <t>z(Елки)</t>
  </si>
  <si>
    <t>λmax</t>
  </si>
  <si>
    <t>CI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</si>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</sst>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"/>
    <numFmt numFmtId="166" formatCode="0.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2" fontId="1" fillId="0" borderId="0" xfId="0" applyNumberFormat="1" applyFont="1"/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wrapText="1"/>
    </xf>
    <xf numFmtId="0" fontId="1" fillId="0" borderId="5" xfId="0" applyFont="1" applyBorder="1"/>
    <xf numFmtId="0" fontId="0" fillId="0" borderId="0" xfId="0" applyAlignment="1">
      <alignment wrapText="1"/>
    </xf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2" fillId="0" borderId="0" xfId="0" applyFont="1" applyAlignment="1">
      <alignment horizontal="center" vertical="center"/>
    </xf>
    <xf numFmtId="165" fontId="0" fillId="0" borderId="0" xfId="0" applyNumberFormat="1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60476</xdr:colOff>
      <xdr:row>1</xdr:row>
      <xdr:rowOff>120952</xdr:rowOff>
    </xdr:from>
    <xdr:to>
      <xdr:col>28</xdr:col>
      <xdr:colOff>325060</xdr:colOff>
      <xdr:row>6</xdr:row>
      <xdr:rowOff>158750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AD443781-8003-4803-A26B-D225E243C9AF}"/>
            </a:ext>
          </a:extLst>
        </xdr:cNvPr>
        <xdr:cNvSpPr/>
      </xdr:nvSpPr>
      <xdr:spPr>
        <a:xfrm>
          <a:off x="15958155" y="302381"/>
          <a:ext cx="2713869" cy="9449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/>
            <a:t>Сценарий развития</a:t>
          </a:r>
        </a:p>
      </xdr:txBody>
    </xdr:sp>
    <xdr:clientData/>
  </xdr:twoCellAnchor>
  <xdr:twoCellAnchor>
    <xdr:from>
      <xdr:col>18</xdr:col>
      <xdr:colOff>551846</xdr:colOff>
      <xdr:row>9</xdr:row>
      <xdr:rowOff>113393</xdr:rowOff>
    </xdr:from>
    <xdr:to>
      <xdr:col>23</xdr:col>
      <xdr:colOff>204108</xdr:colOff>
      <xdr:row>14</xdr:row>
      <xdr:rowOff>151190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CB5FDAC5-451A-4B29-BD2F-68C992532A5F}"/>
            </a:ext>
          </a:extLst>
        </xdr:cNvPr>
        <xdr:cNvSpPr/>
      </xdr:nvSpPr>
      <xdr:spPr>
        <a:xfrm>
          <a:off x="12775596" y="1746250"/>
          <a:ext cx="2713869" cy="9449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/>
            <a:t>Отец</a:t>
          </a:r>
        </a:p>
      </xdr:txBody>
    </xdr:sp>
    <xdr:clientData/>
  </xdr:twoCellAnchor>
  <xdr:twoCellAnchor>
    <xdr:from>
      <xdr:col>24</xdr:col>
      <xdr:colOff>52916</xdr:colOff>
      <xdr:row>9</xdr:row>
      <xdr:rowOff>105834</xdr:rowOff>
    </xdr:from>
    <xdr:to>
      <xdr:col>28</xdr:col>
      <xdr:colOff>317500</xdr:colOff>
      <xdr:row>14</xdr:row>
      <xdr:rowOff>143631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02AD8101-7213-436B-A984-A3C83D3D968E}"/>
            </a:ext>
          </a:extLst>
        </xdr:cNvPr>
        <xdr:cNvSpPr/>
      </xdr:nvSpPr>
      <xdr:spPr>
        <a:xfrm>
          <a:off x="15950595" y="1738691"/>
          <a:ext cx="2713869" cy="9449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/>
            <a:t>Мать</a:t>
          </a:r>
        </a:p>
      </xdr:txBody>
    </xdr:sp>
    <xdr:clientData/>
  </xdr:twoCellAnchor>
  <xdr:twoCellAnchor>
    <xdr:from>
      <xdr:col>29</xdr:col>
      <xdr:colOff>84363</xdr:colOff>
      <xdr:row>9</xdr:row>
      <xdr:rowOff>99483</xdr:rowOff>
    </xdr:from>
    <xdr:to>
      <xdr:col>33</xdr:col>
      <xdr:colOff>348947</xdr:colOff>
      <xdr:row>14</xdr:row>
      <xdr:rowOff>137280</xdr:rowOff>
    </xdr:to>
    <xdr:sp macro="" textlink="">
      <xdr:nvSpPr>
        <xdr:cNvPr id="5" name="Прямоугольник 4">
          <a:extLst>
            <a:ext uri="{FF2B5EF4-FFF2-40B4-BE49-F238E27FC236}">
              <a16:creationId xmlns:a16="http://schemas.microsoft.com/office/drawing/2014/main" id="{50B8161F-03EB-4C44-8330-5FAFFFBE7D88}"/>
            </a:ext>
          </a:extLst>
        </xdr:cNvPr>
        <xdr:cNvSpPr/>
      </xdr:nvSpPr>
      <xdr:spPr>
        <a:xfrm>
          <a:off x="19043649" y="1732340"/>
          <a:ext cx="2713869" cy="9449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/>
            <a:t>Ребенок</a:t>
          </a:r>
        </a:p>
      </xdr:txBody>
    </xdr:sp>
    <xdr:clientData/>
  </xdr:twoCellAnchor>
  <xdr:twoCellAnchor>
    <xdr:from>
      <xdr:col>21</xdr:col>
      <xdr:colOff>71817</xdr:colOff>
      <xdr:row>4</xdr:row>
      <xdr:rowOff>49137</xdr:rowOff>
    </xdr:from>
    <xdr:to>
      <xdr:col>24</xdr:col>
      <xdr:colOff>60476</xdr:colOff>
      <xdr:row>9</xdr:row>
      <xdr:rowOff>113393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2DAA5F97-6BB3-410A-AF7F-88343D15A3C2}"/>
            </a:ext>
          </a:extLst>
        </xdr:cNvPr>
        <xdr:cNvCxnSpPr>
          <a:stCxn id="2" idx="1"/>
          <a:endCxn id="3" idx="0"/>
        </xdr:cNvCxnSpPr>
      </xdr:nvCxnSpPr>
      <xdr:spPr>
        <a:xfrm flipH="1">
          <a:off x="14132531" y="774851"/>
          <a:ext cx="1825624" cy="9713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185209</xdr:colOff>
      <xdr:row>6</xdr:row>
      <xdr:rowOff>158750</xdr:rowOff>
    </xdr:from>
    <xdr:to>
      <xdr:col>26</xdr:col>
      <xdr:colOff>192769</xdr:colOff>
      <xdr:row>9</xdr:row>
      <xdr:rowOff>105834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5433B67D-5E7D-4FEB-88AE-6BEB6A3F2A1D}"/>
            </a:ext>
          </a:extLst>
        </xdr:cNvPr>
        <xdr:cNvCxnSpPr>
          <a:stCxn id="2" idx="2"/>
          <a:endCxn id="4" idx="0"/>
        </xdr:cNvCxnSpPr>
      </xdr:nvCxnSpPr>
      <xdr:spPr>
        <a:xfrm flipH="1">
          <a:off x="17307530" y="1247321"/>
          <a:ext cx="7560" cy="4913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325060</xdr:colOff>
      <xdr:row>4</xdr:row>
      <xdr:rowOff>49137</xdr:rowOff>
    </xdr:from>
    <xdr:to>
      <xdr:col>31</xdr:col>
      <xdr:colOff>216655</xdr:colOff>
      <xdr:row>9</xdr:row>
      <xdr:rowOff>99483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11AEB5FB-272B-4E55-B4DB-D1D5A83675AF}"/>
            </a:ext>
          </a:extLst>
        </xdr:cNvPr>
        <xdr:cNvCxnSpPr>
          <a:stCxn id="2" idx="3"/>
          <a:endCxn id="5" idx="0"/>
        </xdr:cNvCxnSpPr>
      </xdr:nvCxnSpPr>
      <xdr:spPr>
        <a:xfrm>
          <a:off x="18672024" y="774851"/>
          <a:ext cx="1728560" cy="9574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90713</xdr:colOff>
      <xdr:row>18</xdr:row>
      <xdr:rowOff>151190</xdr:rowOff>
    </xdr:from>
    <xdr:to>
      <xdr:col>21</xdr:col>
      <xdr:colOff>582083</xdr:colOff>
      <xdr:row>24</xdr:row>
      <xdr:rowOff>7558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7F1C3486-36E1-45F4-83DA-6B9F2E0BADF1}"/>
            </a:ext>
          </a:extLst>
        </xdr:cNvPr>
        <xdr:cNvSpPr/>
      </xdr:nvSpPr>
      <xdr:spPr>
        <a:xfrm>
          <a:off x="12926784" y="3416904"/>
          <a:ext cx="1716013" cy="9449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/>
            <a:t>Хоррор</a:t>
          </a:r>
        </a:p>
      </xdr:txBody>
    </xdr:sp>
    <xdr:clientData/>
  </xdr:twoCellAnchor>
  <xdr:twoCellAnchor>
    <xdr:from>
      <xdr:col>22</xdr:col>
      <xdr:colOff>559405</xdr:colOff>
      <xdr:row>18</xdr:row>
      <xdr:rowOff>151191</xdr:rowOff>
    </xdr:from>
    <xdr:to>
      <xdr:col>25</xdr:col>
      <xdr:colOff>438454</xdr:colOff>
      <xdr:row>24</xdr:row>
      <xdr:rowOff>7559</xdr:rowOff>
    </xdr:to>
    <xdr:sp macro="" textlink="">
      <xdr:nvSpPr>
        <xdr:cNvPr id="17" name="Прямоугольник 16">
          <a:extLst>
            <a:ext uri="{FF2B5EF4-FFF2-40B4-BE49-F238E27FC236}">
              <a16:creationId xmlns:a16="http://schemas.microsoft.com/office/drawing/2014/main" id="{4A8FA575-3024-4224-A560-E8AB134FB2A8}"/>
            </a:ext>
          </a:extLst>
        </xdr:cNvPr>
        <xdr:cNvSpPr/>
      </xdr:nvSpPr>
      <xdr:spPr>
        <a:xfrm>
          <a:off x="15232441" y="3416905"/>
          <a:ext cx="1716013" cy="9449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/>
            <a:t>Комедия</a:t>
          </a:r>
        </a:p>
      </xdr:txBody>
    </xdr:sp>
    <xdr:clientData/>
  </xdr:twoCellAnchor>
  <xdr:twoCellAnchor>
    <xdr:from>
      <xdr:col>26</xdr:col>
      <xdr:colOff>462342</xdr:colOff>
      <xdr:row>18</xdr:row>
      <xdr:rowOff>144841</xdr:rowOff>
    </xdr:from>
    <xdr:to>
      <xdr:col>29</xdr:col>
      <xdr:colOff>341390</xdr:colOff>
      <xdr:row>24</xdr:row>
      <xdr:rowOff>1209</xdr:rowOff>
    </xdr:to>
    <xdr:sp macro="" textlink="">
      <xdr:nvSpPr>
        <xdr:cNvPr id="18" name="Прямоугольник 17">
          <a:extLst>
            <a:ext uri="{FF2B5EF4-FFF2-40B4-BE49-F238E27FC236}">
              <a16:creationId xmlns:a16="http://schemas.microsoft.com/office/drawing/2014/main" id="{27727CC8-D48E-4728-BAC0-BF037511DBE6}"/>
            </a:ext>
          </a:extLst>
        </xdr:cNvPr>
        <xdr:cNvSpPr/>
      </xdr:nvSpPr>
      <xdr:spPr>
        <a:xfrm>
          <a:off x="17584663" y="3410555"/>
          <a:ext cx="1716013" cy="9449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/>
            <a:t>Драма</a:t>
          </a:r>
        </a:p>
      </xdr:txBody>
    </xdr:sp>
    <xdr:clientData/>
  </xdr:twoCellAnchor>
  <xdr:twoCellAnchor>
    <xdr:from>
      <xdr:col>30</xdr:col>
      <xdr:colOff>395515</xdr:colOff>
      <xdr:row>18</xdr:row>
      <xdr:rowOff>115813</xdr:rowOff>
    </xdr:from>
    <xdr:to>
      <xdr:col>33</xdr:col>
      <xdr:colOff>274564</xdr:colOff>
      <xdr:row>23</xdr:row>
      <xdr:rowOff>153610</xdr:rowOff>
    </xdr:to>
    <xdr:sp macro="" textlink="">
      <xdr:nvSpPr>
        <xdr:cNvPr id="19" name="Прямоугольник 18">
          <a:extLst>
            <a:ext uri="{FF2B5EF4-FFF2-40B4-BE49-F238E27FC236}">
              <a16:creationId xmlns:a16="http://schemas.microsoft.com/office/drawing/2014/main" id="{BE5643DC-1598-491A-AE3D-79C0A8CA694F}"/>
            </a:ext>
          </a:extLst>
        </xdr:cNvPr>
        <xdr:cNvSpPr/>
      </xdr:nvSpPr>
      <xdr:spPr>
        <a:xfrm>
          <a:off x="19967122" y="3381527"/>
          <a:ext cx="1716013" cy="9449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/>
            <a:t>Боевик</a:t>
          </a:r>
        </a:p>
      </xdr:txBody>
    </xdr:sp>
    <xdr:clientData/>
  </xdr:twoCellAnchor>
  <xdr:twoCellAnchor>
    <xdr:from>
      <xdr:col>21</xdr:col>
      <xdr:colOff>72413</xdr:colOff>
      <xdr:row>14</xdr:row>
      <xdr:rowOff>151190</xdr:rowOff>
    </xdr:from>
    <xdr:to>
      <xdr:col>32</xdr:col>
      <xdr:colOff>29475</xdr:colOff>
      <xdr:row>18</xdr:row>
      <xdr:rowOff>115813</xdr:rowOff>
    </xdr:to>
    <xdr:cxnSp macro="">
      <xdr:nvCxnSpPr>
        <xdr:cNvPr id="21" name="Прямая со стрелкой 20">
          <a:extLst>
            <a:ext uri="{FF2B5EF4-FFF2-40B4-BE49-F238E27FC236}">
              <a16:creationId xmlns:a16="http://schemas.microsoft.com/office/drawing/2014/main" id="{4A0D2624-820E-4D5F-8AB9-5ECD9D4A01CB}"/>
            </a:ext>
          </a:extLst>
        </xdr:cNvPr>
        <xdr:cNvCxnSpPr>
          <a:stCxn id="3" idx="2"/>
          <a:endCxn id="19" idx="0"/>
        </xdr:cNvCxnSpPr>
      </xdr:nvCxnSpPr>
      <xdr:spPr>
        <a:xfrm>
          <a:off x="14114030" y="2758032"/>
          <a:ext cx="6679468" cy="7094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336398</xdr:colOff>
      <xdr:row>14</xdr:row>
      <xdr:rowOff>151190</xdr:rowOff>
    </xdr:from>
    <xdr:to>
      <xdr:col>21</xdr:col>
      <xdr:colOff>72413</xdr:colOff>
      <xdr:row>18</xdr:row>
      <xdr:rowOff>151190</xdr:rowOff>
    </xdr:to>
    <xdr:cxnSp macro="">
      <xdr:nvCxnSpPr>
        <xdr:cNvPr id="23" name="Прямая со стрелкой 22">
          <a:extLst>
            <a:ext uri="{FF2B5EF4-FFF2-40B4-BE49-F238E27FC236}">
              <a16:creationId xmlns:a16="http://schemas.microsoft.com/office/drawing/2014/main" id="{D3B9C5DD-8F30-4B73-974C-0B5F6366ECFF}"/>
            </a:ext>
          </a:extLst>
        </xdr:cNvPr>
        <xdr:cNvCxnSpPr>
          <a:stCxn id="3" idx="2"/>
          <a:endCxn id="13" idx="0"/>
        </xdr:cNvCxnSpPr>
      </xdr:nvCxnSpPr>
      <xdr:spPr>
        <a:xfrm flipH="1">
          <a:off x="13766887" y="2758032"/>
          <a:ext cx="347143" cy="744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72413</xdr:colOff>
      <xdr:row>14</xdr:row>
      <xdr:rowOff>151190</xdr:rowOff>
    </xdr:from>
    <xdr:to>
      <xdr:col>24</xdr:col>
      <xdr:colOff>193366</xdr:colOff>
      <xdr:row>18</xdr:row>
      <xdr:rowOff>151191</xdr:rowOff>
    </xdr:to>
    <xdr:cxnSp macro="">
      <xdr:nvCxnSpPr>
        <xdr:cNvPr id="25" name="Прямая со стрелкой 24">
          <a:extLst>
            <a:ext uri="{FF2B5EF4-FFF2-40B4-BE49-F238E27FC236}">
              <a16:creationId xmlns:a16="http://schemas.microsoft.com/office/drawing/2014/main" id="{E10A130A-3E8C-443F-8D47-9485C442B32D}"/>
            </a:ext>
          </a:extLst>
        </xdr:cNvPr>
        <xdr:cNvCxnSpPr>
          <a:stCxn id="3" idx="2"/>
          <a:endCxn id="17" idx="0"/>
        </xdr:cNvCxnSpPr>
      </xdr:nvCxnSpPr>
      <xdr:spPr>
        <a:xfrm>
          <a:off x="14114030" y="2758032"/>
          <a:ext cx="1954336" cy="744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185208</xdr:colOff>
      <xdr:row>14</xdr:row>
      <xdr:rowOff>143631</xdr:rowOff>
    </xdr:from>
    <xdr:to>
      <xdr:col>28</xdr:col>
      <xdr:colOff>96303</xdr:colOff>
      <xdr:row>18</xdr:row>
      <xdr:rowOff>144841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72A90E69-E982-4CEE-8658-FCB0F6D7D49E}"/>
            </a:ext>
          </a:extLst>
        </xdr:cNvPr>
        <xdr:cNvCxnSpPr>
          <a:stCxn id="4" idx="2"/>
          <a:endCxn id="18" idx="0"/>
        </xdr:cNvCxnSpPr>
      </xdr:nvCxnSpPr>
      <xdr:spPr>
        <a:xfrm>
          <a:off x="17282464" y="2750473"/>
          <a:ext cx="1133350" cy="7460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193366</xdr:colOff>
      <xdr:row>14</xdr:row>
      <xdr:rowOff>143631</xdr:rowOff>
    </xdr:from>
    <xdr:to>
      <xdr:col>26</xdr:col>
      <xdr:colOff>185208</xdr:colOff>
      <xdr:row>18</xdr:row>
      <xdr:rowOff>151191</xdr:rowOff>
    </xdr:to>
    <xdr:cxnSp macro="">
      <xdr:nvCxnSpPr>
        <xdr:cNvPr id="29" name="Прямая со стрелкой 28">
          <a:extLst>
            <a:ext uri="{FF2B5EF4-FFF2-40B4-BE49-F238E27FC236}">
              <a16:creationId xmlns:a16="http://schemas.microsoft.com/office/drawing/2014/main" id="{C6BC0270-9312-4C8E-9711-64ABA770A6CA}"/>
            </a:ext>
          </a:extLst>
        </xdr:cNvPr>
        <xdr:cNvCxnSpPr>
          <a:stCxn id="4" idx="2"/>
          <a:endCxn id="17" idx="0"/>
        </xdr:cNvCxnSpPr>
      </xdr:nvCxnSpPr>
      <xdr:spPr>
        <a:xfrm flipH="1">
          <a:off x="16068366" y="2750473"/>
          <a:ext cx="1214098" cy="7523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336398</xdr:colOff>
      <xdr:row>14</xdr:row>
      <xdr:rowOff>143631</xdr:rowOff>
    </xdr:from>
    <xdr:to>
      <xdr:col>26</xdr:col>
      <xdr:colOff>185208</xdr:colOff>
      <xdr:row>18</xdr:row>
      <xdr:rowOff>151190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BCE5FD0B-A1C1-4724-82A3-4CED7BA9B859}"/>
            </a:ext>
          </a:extLst>
        </xdr:cNvPr>
        <xdr:cNvCxnSpPr>
          <a:stCxn id="4" idx="2"/>
          <a:endCxn id="13" idx="0"/>
        </xdr:cNvCxnSpPr>
      </xdr:nvCxnSpPr>
      <xdr:spPr>
        <a:xfrm flipH="1">
          <a:off x="13766887" y="2750473"/>
          <a:ext cx="3515577" cy="7523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216655</xdr:colOff>
      <xdr:row>14</xdr:row>
      <xdr:rowOff>137280</xdr:rowOff>
    </xdr:from>
    <xdr:to>
      <xdr:col>32</xdr:col>
      <xdr:colOff>29475</xdr:colOff>
      <xdr:row>18</xdr:row>
      <xdr:rowOff>115813</xdr:rowOff>
    </xdr:to>
    <xdr:cxnSp macro="">
      <xdr:nvCxnSpPr>
        <xdr:cNvPr id="33" name="Прямая со стрелкой 32">
          <a:extLst>
            <a:ext uri="{FF2B5EF4-FFF2-40B4-BE49-F238E27FC236}">
              <a16:creationId xmlns:a16="http://schemas.microsoft.com/office/drawing/2014/main" id="{22ECF50F-35C8-45F4-B50E-2DC966643262}"/>
            </a:ext>
          </a:extLst>
        </xdr:cNvPr>
        <xdr:cNvCxnSpPr>
          <a:stCxn id="5" idx="2"/>
          <a:endCxn id="19" idx="0"/>
        </xdr:cNvCxnSpPr>
      </xdr:nvCxnSpPr>
      <xdr:spPr>
        <a:xfrm>
          <a:off x="20369550" y="2744122"/>
          <a:ext cx="423948" cy="7233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96303</xdr:colOff>
      <xdr:row>14</xdr:row>
      <xdr:rowOff>137280</xdr:rowOff>
    </xdr:from>
    <xdr:to>
      <xdr:col>31</xdr:col>
      <xdr:colOff>216655</xdr:colOff>
      <xdr:row>18</xdr:row>
      <xdr:rowOff>144841</xdr:rowOff>
    </xdr:to>
    <xdr:cxnSp macro="">
      <xdr:nvCxnSpPr>
        <xdr:cNvPr id="35" name="Прямая со стрелкой 34">
          <a:extLst>
            <a:ext uri="{FF2B5EF4-FFF2-40B4-BE49-F238E27FC236}">
              <a16:creationId xmlns:a16="http://schemas.microsoft.com/office/drawing/2014/main" id="{EB0C93A9-0974-468A-BC0D-075B1019ADF2}"/>
            </a:ext>
          </a:extLst>
        </xdr:cNvPr>
        <xdr:cNvCxnSpPr>
          <a:stCxn id="5" idx="2"/>
          <a:endCxn id="18" idx="0"/>
        </xdr:cNvCxnSpPr>
      </xdr:nvCxnSpPr>
      <xdr:spPr>
        <a:xfrm flipH="1">
          <a:off x="18415814" y="2744122"/>
          <a:ext cx="1953736" cy="75237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193366</xdr:colOff>
      <xdr:row>14</xdr:row>
      <xdr:rowOff>137280</xdr:rowOff>
    </xdr:from>
    <xdr:to>
      <xdr:col>31</xdr:col>
      <xdr:colOff>216655</xdr:colOff>
      <xdr:row>18</xdr:row>
      <xdr:rowOff>151191</xdr:rowOff>
    </xdr:to>
    <xdr:cxnSp macro="">
      <xdr:nvCxnSpPr>
        <xdr:cNvPr id="37" name="Прямая со стрелкой 36">
          <a:extLst>
            <a:ext uri="{FF2B5EF4-FFF2-40B4-BE49-F238E27FC236}">
              <a16:creationId xmlns:a16="http://schemas.microsoft.com/office/drawing/2014/main" id="{9ECFB4E4-5659-4D6F-A91A-0CCE9357A7D4}"/>
            </a:ext>
          </a:extLst>
        </xdr:cNvPr>
        <xdr:cNvCxnSpPr>
          <a:stCxn id="5" idx="2"/>
          <a:endCxn id="17" idx="0"/>
        </xdr:cNvCxnSpPr>
      </xdr:nvCxnSpPr>
      <xdr:spPr>
        <a:xfrm flipH="1">
          <a:off x="16068366" y="2744122"/>
          <a:ext cx="4301184" cy="7587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85940</xdr:colOff>
      <xdr:row>29</xdr:row>
      <xdr:rowOff>4774</xdr:rowOff>
    </xdr:from>
    <xdr:to>
      <xdr:col>21</xdr:col>
      <xdr:colOff>582481</xdr:colOff>
      <xdr:row>33</xdr:row>
      <xdr:rowOff>105037</xdr:rowOff>
    </xdr:to>
    <xdr:sp macro="" textlink="">
      <xdr:nvSpPr>
        <xdr:cNvPr id="42" name="Прямоугольник: скругленные углы 41">
          <a:extLst>
            <a:ext uri="{FF2B5EF4-FFF2-40B4-BE49-F238E27FC236}">
              <a16:creationId xmlns:a16="http://schemas.microsoft.com/office/drawing/2014/main" id="{46B93E91-1E98-4E2E-B2E0-266C0FEDE705}"/>
            </a:ext>
          </a:extLst>
        </xdr:cNvPr>
        <xdr:cNvSpPr/>
      </xdr:nvSpPr>
      <xdr:spPr>
        <a:xfrm>
          <a:off x="12905301" y="5404661"/>
          <a:ext cx="1718797" cy="845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800"/>
            <a:t>Пила </a:t>
          </a:r>
        </a:p>
      </xdr:txBody>
    </xdr:sp>
    <xdr:clientData/>
  </xdr:twoCellAnchor>
  <xdr:twoCellAnchor>
    <xdr:from>
      <xdr:col>22</xdr:col>
      <xdr:colOff>572933</xdr:colOff>
      <xdr:row>28</xdr:row>
      <xdr:rowOff>167105</xdr:rowOff>
    </xdr:from>
    <xdr:to>
      <xdr:col>25</xdr:col>
      <xdr:colOff>458346</xdr:colOff>
      <xdr:row>36</xdr:row>
      <xdr:rowOff>138459</xdr:rowOff>
    </xdr:to>
    <xdr:sp macro="" textlink="">
      <xdr:nvSpPr>
        <xdr:cNvPr id="43" name="Прямоугольник: скругленные углы 42">
          <a:extLst>
            <a:ext uri="{FF2B5EF4-FFF2-40B4-BE49-F238E27FC236}">
              <a16:creationId xmlns:a16="http://schemas.microsoft.com/office/drawing/2014/main" id="{53757AEF-BB82-42ED-8776-B1663B539B2F}"/>
            </a:ext>
          </a:extLst>
        </xdr:cNvPr>
        <xdr:cNvSpPr/>
      </xdr:nvSpPr>
      <xdr:spPr>
        <a:xfrm>
          <a:off x="15225677" y="5380789"/>
          <a:ext cx="1718797" cy="146097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800"/>
            <a:t>Ирония судьбы или</a:t>
          </a:r>
          <a:r>
            <a:rPr lang="ru-RU" sz="1800" baseline="0"/>
            <a:t> с</a:t>
          </a:r>
          <a:r>
            <a:rPr lang="ru-RU" sz="1800"/>
            <a:t> легким паром</a:t>
          </a:r>
        </a:p>
      </xdr:txBody>
    </xdr:sp>
    <xdr:clientData/>
  </xdr:twoCellAnchor>
  <xdr:twoCellAnchor>
    <xdr:from>
      <xdr:col>26</xdr:col>
      <xdr:colOff>534353</xdr:colOff>
      <xdr:row>28</xdr:row>
      <xdr:rowOff>176273</xdr:rowOff>
    </xdr:from>
    <xdr:to>
      <xdr:col>29</xdr:col>
      <xdr:colOff>419767</xdr:colOff>
      <xdr:row>33</xdr:row>
      <xdr:rowOff>90333</xdr:rowOff>
    </xdr:to>
    <xdr:sp macro="" textlink="">
      <xdr:nvSpPr>
        <xdr:cNvPr id="44" name="Прямоугольник: скругленные углы 43">
          <a:extLst>
            <a:ext uri="{FF2B5EF4-FFF2-40B4-BE49-F238E27FC236}">
              <a16:creationId xmlns:a16="http://schemas.microsoft.com/office/drawing/2014/main" id="{CFF7A59D-7069-4FEA-B1F8-0B4D2CAF20AB}"/>
            </a:ext>
          </a:extLst>
        </xdr:cNvPr>
        <xdr:cNvSpPr/>
      </xdr:nvSpPr>
      <xdr:spPr>
        <a:xfrm>
          <a:off x="17631609" y="5389957"/>
          <a:ext cx="1718797" cy="845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3200"/>
            <a:t>Рокки</a:t>
          </a:r>
        </a:p>
      </xdr:txBody>
    </xdr:sp>
    <xdr:clientData/>
  </xdr:twoCellAnchor>
  <xdr:twoCellAnchor>
    <xdr:from>
      <xdr:col>30</xdr:col>
      <xdr:colOff>357318</xdr:colOff>
      <xdr:row>28</xdr:row>
      <xdr:rowOff>152019</xdr:rowOff>
    </xdr:from>
    <xdr:to>
      <xdr:col>33</xdr:col>
      <xdr:colOff>242732</xdr:colOff>
      <xdr:row>33</xdr:row>
      <xdr:rowOff>66079</xdr:rowOff>
    </xdr:to>
    <xdr:sp macro="" textlink="">
      <xdr:nvSpPr>
        <xdr:cNvPr id="45" name="Прямоугольник: скругленные углы 44">
          <a:extLst>
            <a:ext uri="{FF2B5EF4-FFF2-40B4-BE49-F238E27FC236}">
              <a16:creationId xmlns:a16="http://schemas.microsoft.com/office/drawing/2014/main" id="{13AC0BEB-F6BE-43F4-B889-3455F12B1AF1}"/>
            </a:ext>
          </a:extLst>
        </xdr:cNvPr>
        <xdr:cNvSpPr/>
      </xdr:nvSpPr>
      <xdr:spPr>
        <a:xfrm>
          <a:off x="19899085" y="5365703"/>
          <a:ext cx="1718797" cy="845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800"/>
            <a:t>Елки 18</a:t>
          </a:r>
        </a:p>
      </xdr:txBody>
    </xdr:sp>
    <xdr:clientData/>
  </xdr:twoCellAnchor>
  <xdr:twoCellAnchor>
    <xdr:from>
      <xdr:col>20</xdr:col>
      <xdr:colOff>334211</xdr:colOff>
      <xdr:row>24</xdr:row>
      <xdr:rowOff>7558</xdr:rowOff>
    </xdr:from>
    <xdr:to>
      <xdr:col>20</xdr:col>
      <xdr:colOff>336398</xdr:colOff>
      <xdr:row>29</xdr:row>
      <xdr:rowOff>4774</xdr:rowOff>
    </xdr:to>
    <xdr:cxnSp macro="">
      <xdr:nvCxnSpPr>
        <xdr:cNvPr id="47" name="Прямая со стрелкой 46">
          <a:extLst>
            <a:ext uri="{FF2B5EF4-FFF2-40B4-BE49-F238E27FC236}">
              <a16:creationId xmlns:a16="http://schemas.microsoft.com/office/drawing/2014/main" id="{2914D00E-BE6B-426B-A470-05B1D53FA6B6}"/>
            </a:ext>
          </a:extLst>
        </xdr:cNvPr>
        <xdr:cNvCxnSpPr>
          <a:stCxn id="13" idx="2"/>
          <a:endCxn id="42" idx="0"/>
        </xdr:cNvCxnSpPr>
      </xdr:nvCxnSpPr>
      <xdr:spPr>
        <a:xfrm flipH="1">
          <a:off x="13764700" y="4476430"/>
          <a:ext cx="2187" cy="9282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193366</xdr:colOff>
      <xdr:row>24</xdr:row>
      <xdr:rowOff>7559</xdr:rowOff>
    </xdr:from>
    <xdr:to>
      <xdr:col>24</xdr:col>
      <xdr:colOff>210076</xdr:colOff>
      <xdr:row>28</xdr:row>
      <xdr:rowOff>167105</xdr:rowOff>
    </xdr:to>
    <xdr:cxnSp macro="">
      <xdr:nvCxnSpPr>
        <xdr:cNvPr id="49" name="Прямая со стрелкой 48">
          <a:extLst>
            <a:ext uri="{FF2B5EF4-FFF2-40B4-BE49-F238E27FC236}">
              <a16:creationId xmlns:a16="http://schemas.microsoft.com/office/drawing/2014/main" id="{2E77AE7B-410C-4F1D-8DE9-851D808E1729}"/>
            </a:ext>
          </a:extLst>
        </xdr:cNvPr>
        <xdr:cNvCxnSpPr>
          <a:stCxn id="17" idx="2"/>
          <a:endCxn id="43" idx="0"/>
        </xdr:cNvCxnSpPr>
      </xdr:nvCxnSpPr>
      <xdr:spPr>
        <a:xfrm>
          <a:off x="16068366" y="4476431"/>
          <a:ext cx="16710" cy="9043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193366</xdr:colOff>
      <xdr:row>24</xdr:row>
      <xdr:rowOff>7559</xdr:rowOff>
    </xdr:from>
    <xdr:to>
      <xdr:col>28</xdr:col>
      <xdr:colOff>171497</xdr:colOff>
      <xdr:row>28</xdr:row>
      <xdr:rowOff>176273</xdr:rowOff>
    </xdr:to>
    <xdr:cxnSp macro="">
      <xdr:nvCxnSpPr>
        <xdr:cNvPr id="51" name="Прямая со стрелкой 50">
          <a:extLst>
            <a:ext uri="{FF2B5EF4-FFF2-40B4-BE49-F238E27FC236}">
              <a16:creationId xmlns:a16="http://schemas.microsoft.com/office/drawing/2014/main" id="{FE4F1D9E-DCEF-4E23-99AE-6E7587FF78E2}"/>
            </a:ext>
          </a:extLst>
        </xdr:cNvPr>
        <xdr:cNvCxnSpPr>
          <a:stCxn id="17" idx="2"/>
          <a:endCxn id="44" idx="0"/>
        </xdr:cNvCxnSpPr>
      </xdr:nvCxnSpPr>
      <xdr:spPr>
        <a:xfrm>
          <a:off x="16068366" y="4476431"/>
          <a:ext cx="2422642" cy="9135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193366</xdr:colOff>
      <xdr:row>24</xdr:row>
      <xdr:rowOff>7559</xdr:rowOff>
    </xdr:from>
    <xdr:to>
      <xdr:col>31</xdr:col>
      <xdr:colOff>605589</xdr:colOff>
      <xdr:row>28</xdr:row>
      <xdr:rowOff>152019</xdr:rowOff>
    </xdr:to>
    <xdr:cxnSp macro="">
      <xdr:nvCxnSpPr>
        <xdr:cNvPr id="53" name="Прямая со стрелкой 52">
          <a:extLst>
            <a:ext uri="{FF2B5EF4-FFF2-40B4-BE49-F238E27FC236}">
              <a16:creationId xmlns:a16="http://schemas.microsoft.com/office/drawing/2014/main" id="{5CC25251-39FE-4397-8D44-971795AFF113}"/>
            </a:ext>
          </a:extLst>
        </xdr:cNvPr>
        <xdr:cNvCxnSpPr>
          <a:stCxn id="17" idx="2"/>
          <a:endCxn id="45" idx="0"/>
        </xdr:cNvCxnSpPr>
      </xdr:nvCxnSpPr>
      <xdr:spPr>
        <a:xfrm>
          <a:off x="16068366" y="4476431"/>
          <a:ext cx="4690118" cy="8892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334211</xdr:colOff>
      <xdr:row>24</xdr:row>
      <xdr:rowOff>7559</xdr:rowOff>
    </xdr:from>
    <xdr:to>
      <xdr:col>24</xdr:col>
      <xdr:colOff>193366</xdr:colOff>
      <xdr:row>29</xdr:row>
      <xdr:rowOff>4774</xdr:rowOff>
    </xdr:to>
    <xdr:cxnSp macro="">
      <xdr:nvCxnSpPr>
        <xdr:cNvPr id="55" name="Прямая со стрелкой 54">
          <a:extLst>
            <a:ext uri="{FF2B5EF4-FFF2-40B4-BE49-F238E27FC236}">
              <a16:creationId xmlns:a16="http://schemas.microsoft.com/office/drawing/2014/main" id="{86FAE807-9C0C-4D0A-93B0-27D8740D8B7E}"/>
            </a:ext>
          </a:extLst>
        </xdr:cNvPr>
        <xdr:cNvCxnSpPr>
          <a:stCxn id="17" idx="2"/>
          <a:endCxn id="42" idx="0"/>
        </xdr:cNvCxnSpPr>
      </xdr:nvCxnSpPr>
      <xdr:spPr>
        <a:xfrm flipH="1">
          <a:off x="13764700" y="4476431"/>
          <a:ext cx="2303666" cy="9282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336398</xdr:colOff>
      <xdr:row>24</xdr:row>
      <xdr:rowOff>7558</xdr:rowOff>
    </xdr:from>
    <xdr:to>
      <xdr:col>24</xdr:col>
      <xdr:colOff>210076</xdr:colOff>
      <xdr:row>28</xdr:row>
      <xdr:rowOff>167105</xdr:rowOff>
    </xdr:to>
    <xdr:cxnSp macro="">
      <xdr:nvCxnSpPr>
        <xdr:cNvPr id="57" name="Прямая со стрелкой 56">
          <a:extLst>
            <a:ext uri="{FF2B5EF4-FFF2-40B4-BE49-F238E27FC236}">
              <a16:creationId xmlns:a16="http://schemas.microsoft.com/office/drawing/2014/main" id="{3E90A247-1B95-444D-825F-A577D31CB563}"/>
            </a:ext>
          </a:extLst>
        </xdr:cNvPr>
        <xdr:cNvCxnSpPr>
          <a:stCxn id="13" idx="2"/>
          <a:endCxn id="43" idx="0"/>
        </xdr:cNvCxnSpPr>
      </xdr:nvCxnSpPr>
      <xdr:spPr>
        <a:xfrm>
          <a:off x="13766887" y="4476430"/>
          <a:ext cx="2318189" cy="9043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336398</xdr:colOff>
      <xdr:row>24</xdr:row>
      <xdr:rowOff>7558</xdr:rowOff>
    </xdr:from>
    <xdr:to>
      <xdr:col>28</xdr:col>
      <xdr:colOff>171497</xdr:colOff>
      <xdr:row>28</xdr:row>
      <xdr:rowOff>176273</xdr:rowOff>
    </xdr:to>
    <xdr:cxnSp macro="">
      <xdr:nvCxnSpPr>
        <xdr:cNvPr id="59" name="Прямая со стрелкой 58">
          <a:extLst>
            <a:ext uri="{FF2B5EF4-FFF2-40B4-BE49-F238E27FC236}">
              <a16:creationId xmlns:a16="http://schemas.microsoft.com/office/drawing/2014/main" id="{29BBE86C-D1FB-4C60-8B20-C8F37DDFD450}"/>
            </a:ext>
          </a:extLst>
        </xdr:cNvPr>
        <xdr:cNvCxnSpPr>
          <a:stCxn id="13" idx="2"/>
          <a:endCxn id="44" idx="0"/>
        </xdr:cNvCxnSpPr>
      </xdr:nvCxnSpPr>
      <xdr:spPr>
        <a:xfrm>
          <a:off x="13766887" y="4476430"/>
          <a:ext cx="4724121" cy="9135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336398</xdr:colOff>
      <xdr:row>24</xdr:row>
      <xdr:rowOff>7558</xdr:rowOff>
    </xdr:from>
    <xdr:to>
      <xdr:col>31</xdr:col>
      <xdr:colOff>605589</xdr:colOff>
      <xdr:row>28</xdr:row>
      <xdr:rowOff>152019</xdr:rowOff>
    </xdr:to>
    <xdr:cxnSp macro="">
      <xdr:nvCxnSpPr>
        <xdr:cNvPr id="61" name="Прямая со стрелкой 60">
          <a:extLst>
            <a:ext uri="{FF2B5EF4-FFF2-40B4-BE49-F238E27FC236}">
              <a16:creationId xmlns:a16="http://schemas.microsoft.com/office/drawing/2014/main" id="{D8DDFDB9-3EFF-4E98-91BC-B654D3B24129}"/>
            </a:ext>
          </a:extLst>
        </xdr:cNvPr>
        <xdr:cNvCxnSpPr>
          <a:stCxn id="13" idx="2"/>
          <a:endCxn id="45" idx="0"/>
        </xdr:cNvCxnSpPr>
      </xdr:nvCxnSpPr>
      <xdr:spPr>
        <a:xfrm>
          <a:off x="13766887" y="4476430"/>
          <a:ext cx="6991597" cy="88927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96303</xdr:colOff>
      <xdr:row>24</xdr:row>
      <xdr:rowOff>1209</xdr:rowOff>
    </xdr:from>
    <xdr:to>
      <xdr:col>28</xdr:col>
      <xdr:colOff>171497</xdr:colOff>
      <xdr:row>28</xdr:row>
      <xdr:rowOff>176273</xdr:rowOff>
    </xdr:to>
    <xdr:cxnSp macro="">
      <xdr:nvCxnSpPr>
        <xdr:cNvPr id="63" name="Прямая со стрелкой 62">
          <a:extLst>
            <a:ext uri="{FF2B5EF4-FFF2-40B4-BE49-F238E27FC236}">
              <a16:creationId xmlns:a16="http://schemas.microsoft.com/office/drawing/2014/main" id="{C4FB258D-E999-4D7F-9CB7-054ED96CAB5B}"/>
            </a:ext>
          </a:extLst>
        </xdr:cNvPr>
        <xdr:cNvCxnSpPr>
          <a:stCxn id="18" idx="2"/>
          <a:endCxn id="44" idx="0"/>
        </xdr:cNvCxnSpPr>
      </xdr:nvCxnSpPr>
      <xdr:spPr>
        <a:xfrm>
          <a:off x="18415814" y="4470081"/>
          <a:ext cx="75194" cy="9198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96303</xdr:colOff>
      <xdr:row>24</xdr:row>
      <xdr:rowOff>1209</xdr:rowOff>
    </xdr:from>
    <xdr:to>
      <xdr:col>31</xdr:col>
      <xdr:colOff>605589</xdr:colOff>
      <xdr:row>28</xdr:row>
      <xdr:rowOff>152019</xdr:rowOff>
    </xdr:to>
    <xdr:cxnSp macro="">
      <xdr:nvCxnSpPr>
        <xdr:cNvPr id="65" name="Прямая со стрелкой 64">
          <a:extLst>
            <a:ext uri="{FF2B5EF4-FFF2-40B4-BE49-F238E27FC236}">
              <a16:creationId xmlns:a16="http://schemas.microsoft.com/office/drawing/2014/main" id="{753D1EF8-0DE1-486A-B758-701BA8A372C3}"/>
            </a:ext>
          </a:extLst>
        </xdr:cNvPr>
        <xdr:cNvCxnSpPr>
          <a:stCxn id="18" idx="2"/>
          <a:endCxn id="45" idx="0"/>
        </xdr:cNvCxnSpPr>
      </xdr:nvCxnSpPr>
      <xdr:spPr>
        <a:xfrm>
          <a:off x="18415814" y="4470081"/>
          <a:ext cx="2342670" cy="8956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210076</xdr:colOff>
      <xdr:row>24</xdr:row>
      <xdr:rowOff>1209</xdr:rowOff>
    </xdr:from>
    <xdr:to>
      <xdr:col>28</xdr:col>
      <xdr:colOff>96303</xdr:colOff>
      <xdr:row>28</xdr:row>
      <xdr:rowOff>167105</xdr:rowOff>
    </xdr:to>
    <xdr:cxnSp macro="">
      <xdr:nvCxnSpPr>
        <xdr:cNvPr id="67" name="Прямая со стрелкой 66">
          <a:extLst>
            <a:ext uri="{FF2B5EF4-FFF2-40B4-BE49-F238E27FC236}">
              <a16:creationId xmlns:a16="http://schemas.microsoft.com/office/drawing/2014/main" id="{C26D9731-D22F-429B-88B4-EB17E4AC4518}"/>
            </a:ext>
          </a:extLst>
        </xdr:cNvPr>
        <xdr:cNvCxnSpPr>
          <a:stCxn id="18" idx="2"/>
          <a:endCxn id="43" idx="0"/>
        </xdr:cNvCxnSpPr>
      </xdr:nvCxnSpPr>
      <xdr:spPr>
        <a:xfrm flipH="1">
          <a:off x="16085076" y="4470081"/>
          <a:ext cx="2330738" cy="9107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334211</xdr:colOff>
      <xdr:row>24</xdr:row>
      <xdr:rowOff>1209</xdr:rowOff>
    </xdr:from>
    <xdr:to>
      <xdr:col>28</xdr:col>
      <xdr:colOff>96303</xdr:colOff>
      <xdr:row>29</xdr:row>
      <xdr:rowOff>4774</xdr:rowOff>
    </xdr:to>
    <xdr:cxnSp macro="">
      <xdr:nvCxnSpPr>
        <xdr:cNvPr id="69" name="Прямая со стрелкой 68">
          <a:extLst>
            <a:ext uri="{FF2B5EF4-FFF2-40B4-BE49-F238E27FC236}">
              <a16:creationId xmlns:a16="http://schemas.microsoft.com/office/drawing/2014/main" id="{6CBF51B5-8C25-4C7A-B80F-585542A40C25}"/>
            </a:ext>
          </a:extLst>
        </xdr:cNvPr>
        <xdr:cNvCxnSpPr>
          <a:stCxn id="18" idx="2"/>
          <a:endCxn id="42" idx="0"/>
        </xdr:cNvCxnSpPr>
      </xdr:nvCxnSpPr>
      <xdr:spPr>
        <a:xfrm flipH="1">
          <a:off x="13764700" y="4470081"/>
          <a:ext cx="4651114" cy="934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605589</xdr:colOff>
      <xdr:row>23</xdr:row>
      <xdr:rowOff>153610</xdr:rowOff>
    </xdr:from>
    <xdr:to>
      <xdr:col>32</xdr:col>
      <xdr:colOff>29475</xdr:colOff>
      <xdr:row>28</xdr:row>
      <xdr:rowOff>152019</xdr:rowOff>
    </xdr:to>
    <xdr:cxnSp macro="">
      <xdr:nvCxnSpPr>
        <xdr:cNvPr id="72" name="Прямая со стрелкой 71">
          <a:extLst>
            <a:ext uri="{FF2B5EF4-FFF2-40B4-BE49-F238E27FC236}">
              <a16:creationId xmlns:a16="http://schemas.microsoft.com/office/drawing/2014/main" id="{9FDBBF94-AA75-4CE1-8BEC-1F9746055064}"/>
            </a:ext>
          </a:extLst>
        </xdr:cNvPr>
        <xdr:cNvCxnSpPr>
          <a:stCxn id="19" idx="2"/>
          <a:endCxn id="45" idx="0"/>
        </xdr:cNvCxnSpPr>
      </xdr:nvCxnSpPr>
      <xdr:spPr>
        <a:xfrm flipH="1">
          <a:off x="20758484" y="4436279"/>
          <a:ext cx="35014" cy="9294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171497</xdr:colOff>
      <xdr:row>23</xdr:row>
      <xdr:rowOff>153610</xdr:rowOff>
    </xdr:from>
    <xdr:to>
      <xdr:col>32</xdr:col>
      <xdr:colOff>29475</xdr:colOff>
      <xdr:row>28</xdr:row>
      <xdr:rowOff>176273</xdr:rowOff>
    </xdr:to>
    <xdr:cxnSp macro="">
      <xdr:nvCxnSpPr>
        <xdr:cNvPr id="74" name="Прямая со стрелкой 73">
          <a:extLst>
            <a:ext uri="{FF2B5EF4-FFF2-40B4-BE49-F238E27FC236}">
              <a16:creationId xmlns:a16="http://schemas.microsoft.com/office/drawing/2014/main" id="{06AEF099-FAC4-41BD-8F53-7CED12CC52A1}"/>
            </a:ext>
          </a:extLst>
        </xdr:cNvPr>
        <xdr:cNvCxnSpPr>
          <a:stCxn id="19" idx="2"/>
          <a:endCxn id="44" idx="0"/>
        </xdr:cNvCxnSpPr>
      </xdr:nvCxnSpPr>
      <xdr:spPr>
        <a:xfrm flipH="1">
          <a:off x="18491008" y="4436279"/>
          <a:ext cx="2302490" cy="9536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210076</xdr:colOff>
      <xdr:row>23</xdr:row>
      <xdr:rowOff>153610</xdr:rowOff>
    </xdr:from>
    <xdr:to>
      <xdr:col>32</xdr:col>
      <xdr:colOff>29475</xdr:colOff>
      <xdr:row>28</xdr:row>
      <xdr:rowOff>167105</xdr:rowOff>
    </xdr:to>
    <xdr:cxnSp macro="">
      <xdr:nvCxnSpPr>
        <xdr:cNvPr id="76" name="Прямая со стрелкой 75">
          <a:extLst>
            <a:ext uri="{FF2B5EF4-FFF2-40B4-BE49-F238E27FC236}">
              <a16:creationId xmlns:a16="http://schemas.microsoft.com/office/drawing/2014/main" id="{6FAD4434-C0C5-40D1-86AB-F8ACB1C1FE95}"/>
            </a:ext>
          </a:extLst>
        </xdr:cNvPr>
        <xdr:cNvCxnSpPr>
          <a:stCxn id="19" idx="2"/>
          <a:endCxn id="43" idx="0"/>
        </xdr:cNvCxnSpPr>
      </xdr:nvCxnSpPr>
      <xdr:spPr>
        <a:xfrm flipH="1">
          <a:off x="16085076" y="4436279"/>
          <a:ext cx="4708422" cy="9445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334211</xdr:colOff>
      <xdr:row>23</xdr:row>
      <xdr:rowOff>153610</xdr:rowOff>
    </xdr:from>
    <xdr:to>
      <xdr:col>32</xdr:col>
      <xdr:colOff>29475</xdr:colOff>
      <xdr:row>29</xdr:row>
      <xdr:rowOff>4774</xdr:rowOff>
    </xdr:to>
    <xdr:cxnSp macro="">
      <xdr:nvCxnSpPr>
        <xdr:cNvPr id="78" name="Прямая со стрелкой 77">
          <a:extLst>
            <a:ext uri="{FF2B5EF4-FFF2-40B4-BE49-F238E27FC236}">
              <a16:creationId xmlns:a16="http://schemas.microsoft.com/office/drawing/2014/main" id="{73C34629-3E01-4A38-A6EC-3B82B9A5F41A}"/>
            </a:ext>
          </a:extLst>
        </xdr:cNvPr>
        <xdr:cNvCxnSpPr>
          <a:stCxn id="19" idx="2"/>
          <a:endCxn id="42" idx="0"/>
        </xdr:cNvCxnSpPr>
      </xdr:nvCxnSpPr>
      <xdr:spPr>
        <a:xfrm flipH="1">
          <a:off x="13764700" y="4436279"/>
          <a:ext cx="7028798" cy="9683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B45"/>
  <sheetViews>
    <sheetView tabSelected="1" topLeftCell="AJ12" zoomScale="77" zoomScaleNormal="175" workbookViewId="0">
      <selection activeCell="AL18" sqref="AL18"/>
    </sheetView>
  </sheetViews>
  <sheetFormatPr defaultRowHeight="14.4" x14ac:dyDescent="0.3"/>
  <cols>
    <col min="1" max="1" width="12.6640625" bestFit="1" customWidth="1"/>
    <col min="3" max="3" width="7.6640625" bestFit="1" customWidth="1"/>
    <col min="4" max="4" width="9.44140625" bestFit="1" customWidth="1"/>
    <col min="9" max="9" width="13.5546875" bestFit="1" customWidth="1"/>
    <col min="10" max="10" width="12.6640625" bestFit="1" customWidth="1"/>
    <col min="11" max="11" width="13.5546875" bestFit="1" customWidth="1"/>
    <col min="12" max="12" width="9.44140625" bestFit="1" customWidth="1"/>
    <col min="13" max="13" width="8.109375" bestFit="1" customWidth="1"/>
    <col min="40" max="40" width="18.5546875" customWidth="1"/>
    <col min="41" max="41" width="13.109375" bestFit="1" customWidth="1"/>
    <col min="44" max="44" width="21" customWidth="1"/>
    <col min="46" max="46" width="21.109375" customWidth="1"/>
    <col min="52" max="52" width="16.88671875" customWidth="1"/>
  </cols>
  <sheetData>
    <row r="3" spans="1:57" x14ac:dyDescent="0.3">
      <c r="A3" t="s">
        <v>4</v>
      </c>
      <c r="AL3" s="19"/>
    </row>
    <row r="4" spans="1:57" x14ac:dyDescent="0.3">
      <c r="B4" t="s">
        <v>0</v>
      </c>
      <c r="C4" t="s">
        <v>1</v>
      </c>
      <c r="D4" t="s">
        <v>2</v>
      </c>
      <c r="E4" t="s">
        <v>3</v>
      </c>
      <c r="J4" t="s">
        <v>4</v>
      </c>
      <c r="K4" t="s">
        <v>9</v>
      </c>
      <c r="L4" t="s">
        <v>10</v>
      </c>
    </row>
    <row r="5" spans="1:57" x14ac:dyDescent="0.3">
      <c r="A5" t="s">
        <v>0</v>
      </c>
      <c r="B5" s="1">
        <v>1</v>
      </c>
      <c r="C5" s="1">
        <v>1.8</v>
      </c>
      <c r="D5" s="1">
        <v>0.2</v>
      </c>
      <c r="E5" s="1">
        <v>0.4</v>
      </c>
      <c r="I5" t="s">
        <v>4</v>
      </c>
      <c r="J5" s="2">
        <v>1</v>
      </c>
      <c r="K5" s="2">
        <v>7</v>
      </c>
      <c r="L5" s="2">
        <f>L6/J6</f>
        <v>0.77777777777777779</v>
      </c>
      <c r="M5" s="1"/>
      <c r="AJ5" t="s">
        <v>17</v>
      </c>
      <c r="AR5" t="s">
        <v>26</v>
      </c>
    </row>
    <row r="6" spans="1:57" ht="29.25" customHeight="1" x14ac:dyDescent="0.3">
      <c r="A6" t="s">
        <v>1</v>
      </c>
      <c r="B6" s="1">
        <v>0.55555555555555558</v>
      </c>
      <c r="C6" s="1">
        <v>1</v>
      </c>
      <c r="D6" s="1">
        <f>1/9</f>
        <v>0.1111111111111111</v>
      </c>
      <c r="E6" s="1">
        <v>0.22222222222222221</v>
      </c>
      <c r="I6" t="s">
        <v>9</v>
      </c>
      <c r="J6" s="2">
        <v>0.14285714285714285</v>
      </c>
      <c r="K6" s="2">
        <v>1</v>
      </c>
      <c r="L6" s="2">
        <v>0.1111111111111111</v>
      </c>
      <c r="M6" s="1"/>
      <c r="AJ6" t="s">
        <v>34</v>
      </c>
      <c r="AK6" t="s">
        <v>18</v>
      </c>
      <c r="AL6" t="s">
        <v>19</v>
      </c>
      <c r="AM6" t="s">
        <v>20</v>
      </c>
      <c r="AN6" s="5" t="s">
        <v>27</v>
      </c>
      <c r="AO6" s="3" t="s">
        <v>21</v>
      </c>
      <c r="AR6" t="s">
        <v>35</v>
      </c>
      <c r="AS6" t="s">
        <v>22</v>
      </c>
      <c r="AT6" t="s">
        <v>23</v>
      </c>
      <c r="AU6" t="s">
        <v>25</v>
      </c>
      <c r="AV6" t="s">
        <v>24</v>
      </c>
      <c r="AX6" s="3"/>
    </row>
    <row r="7" spans="1:57" x14ac:dyDescent="0.3">
      <c r="A7" t="s">
        <v>2</v>
      </c>
      <c r="B7" s="1">
        <v>5</v>
      </c>
      <c r="C7" s="1">
        <v>9</v>
      </c>
      <c r="D7" s="1">
        <v>1</v>
      </c>
      <c r="E7" s="1">
        <v>2</v>
      </c>
      <c r="I7" t="s">
        <v>10</v>
      </c>
      <c r="J7" s="2">
        <f>J6/L6</f>
        <v>1.2857142857142858</v>
      </c>
      <c r="K7" s="2">
        <v>9</v>
      </c>
      <c r="L7" s="2">
        <v>1</v>
      </c>
      <c r="M7" s="1"/>
      <c r="AJ7" t="s">
        <v>18</v>
      </c>
      <c r="AK7" s="1">
        <v>1</v>
      </c>
      <c r="AL7" s="1">
        <v>1</v>
      </c>
      <c r="AM7" s="1">
        <v>3</v>
      </c>
      <c r="AN7" s="1">
        <f>POWER(AK7*AL7*AM7, 1/3)</f>
        <v>1.4422495703074083</v>
      </c>
      <c r="AO7">
        <f>AN7/SUM($AN$7:$AN$9)</f>
        <v>0.4285714285714286</v>
      </c>
      <c r="AR7" t="s">
        <v>18</v>
      </c>
      <c r="AS7" s="1">
        <f>AO14</f>
        <v>0.1111111111111111</v>
      </c>
      <c r="AT7" s="1">
        <f>AO15</f>
        <v>0.22222222222222224</v>
      </c>
      <c r="AU7">
        <v>0</v>
      </c>
      <c r="AV7" s="1">
        <f>AO16</f>
        <v>0.66666666666666663</v>
      </c>
      <c r="AW7" s="4">
        <f>SUM(AS7:AV7)</f>
        <v>1</v>
      </c>
    </row>
    <row r="8" spans="1:57" x14ac:dyDescent="0.3">
      <c r="A8" t="s">
        <v>3</v>
      </c>
      <c r="B8" s="1">
        <v>2.5</v>
      </c>
      <c r="C8" s="1">
        <v>4.5</v>
      </c>
      <c r="D8" s="1">
        <v>0.5</v>
      </c>
      <c r="E8" s="1">
        <v>1</v>
      </c>
      <c r="I8" t="s">
        <v>8</v>
      </c>
      <c r="J8" s="2">
        <f>1/SUM(J5:J7)</f>
        <v>0.41176470588235292</v>
      </c>
      <c r="K8" s="2">
        <f t="shared" ref="K8:L8" si="0">1/SUM(K5:K7)</f>
        <v>5.8823529411764705E-2</v>
      </c>
      <c r="L8" s="2">
        <f t="shared" si="0"/>
        <v>0.52941176470588236</v>
      </c>
      <c r="M8" s="1">
        <f>SUM(J8:L8)</f>
        <v>1</v>
      </c>
      <c r="AJ8" t="s">
        <v>19</v>
      </c>
      <c r="AK8" s="1">
        <v>1</v>
      </c>
      <c r="AL8" s="1">
        <v>1</v>
      </c>
      <c r="AM8" s="1">
        <v>3</v>
      </c>
      <c r="AN8" s="1">
        <f t="shared" ref="AN8:AN9" si="1">POWER(AK8*AL8*AM8, 1/3)</f>
        <v>1.4422495703074083</v>
      </c>
      <c r="AO8">
        <f>AN8/SUM($AN$7:$AN$9)</f>
        <v>0.4285714285714286</v>
      </c>
      <c r="AR8" t="s">
        <v>19</v>
      </c>
      <c r="AS8" s="1">
        <f>AO22</f>
        <v>8.3333333333333343E-2</v>
      </c>
      <c r="AT8" s="1">
        <f>AO23</f>
        <v>0.33333333333333331</v>
      </c>
      <c r="AU8">
        <f>AO24</f>
        <v>0.58333333333333326</v>
      </c>
      <c r="AV8" s="1">
        <v>0</v>
      </c>
      <c r="AW8" s="4">
        <f t="shared" ref="AW8:AW9" si="2">SUM(AS8:AV8)</f>
        <v>0.99999999999999989</v>
      </c>
    </row>
    <row r="9" spans="1:57" x14ac:dyDescent="0.3">
      <c r="A9" t="s">
        <v>8</v>
      </c>
      <c r="B9">
        <f>1/SUM(B5:B8)</f>
        <v>0.11042944785276074</v>
      </c>
      <c r="C9">
        <f t="shared" ref="C9:E9" si="3">1/SUM(C5:C8)</f>
        <v>6.1349693251533742E-2</v>
      </c>
      <c r="D9">
        <f t="shared" si="3"/>
        <v>0.55214723926380371</v>
      </c>
      <c r="E9">
        <f t="shared" si="3"/>
        <v>0.27607361963190186</v>
      </c>
      <c r="F9">
        <f>SUM(B9:E9)</f>
        <v>1</v>
      </c>
      <c r="AJ9" t="s">
        <v>20</v>
      </c>
      <c r="AK9" s="1">
        <v>0.33333333333333331</v>
      </c>
      <c r="AL9" s="1">
        <v>0.33333333333333331</v>
      </c>
      <c r="AM9" s="1">
        <v>1</v>
      </c>
      <c r="AN9" s="1">
        <f t="shared" si="1"/>
        <v>0.48074985676913612</v>
      </c>
      <c r="AO9">
        <f>AN9/SUM($AN$7:$AN$9)</f>
        <v>0.14285714285714288</v>
      </c>
      <c r="AR9" t="s">
        <v>20</v>
      </c>
      <c r="AS9" s="1">
        <v>0</v>
      </c>
      <c r="AT9" s="1">
        <f>AO31</f>
        <v>0.75471698113207553</v>
      </c>
      <c r="AU9">
        <f>AO32</f>
        <v>9.4339622641509441E-2</v>
      </c>
      <c r="AV9" s="1">
        <f>AO33</f>
        <v>0.15094339622641512</v>
      </c>
      <c r="AW9" s="4">
        <f t="shared" si="2"/>
        <v>1</v>
      </c>
    </row>
    <row r="10" spans="1:57" x14ac:dyDescent="0.3">
      <c r="AL10" t="s">
        <v>47</v>
      </c>
      <c r="AM10" t="s">
        <v>48</v>
      </c>
      <c r="AN10" t="s">
        <v>49</v>
      </c>
      <c r="AO10" s="4">
        <f>SUM(AO7:AO9)</f>
        <v>1</v>
      </c>
      <c r="AX10" s="4"/>
    </row>
    <row r="11" spans="1:57" x14ac:dyDescent="0.3">
      <c r="AL11" s="19">
        <v>3</v>
      </c>
      <c r="AM11">
        <f>(3-3)/(3-1)</f>
        <v>0</v>
      </c>
      <c r="AN11">
        <f>AM11/0.58</f>
        <v>0</v>
      </c>
    </row>
    <row r="12" spans="1:57" ht="15" thickBot="1" x14ac:dyDescent="0.35">
      <c r="B12" t="s">
        <v>5</v>
      </c>
      <c r="D12" t="s">
        <v>6</v>
      </c>
      <c r="E12">
        <v>9</v>
      </c>
      <c r="F12" t="s">
        <v>7</v>
      </c>
      <c r="AJ12" t="s">
        <v>18</v>
      </c>
      <c r="AZ12" t="s">
        <v>26</v>
      </c>
    </row>
    <row r="13" spans="1:57" ht="29.25" customHeight="1" x14ac:dyDescent="0.3">
      <c r="I13" t="s">
        <v>11</v>
      </c>
      <c r="AK13" t="s">
        <v>22</v>
      </c>
      <c r="AL13" t="s">
        <v>23</v>
      </c>
      <c r="AM13" t="s">
        <v>24</v>
      </c>
      <c r="AN13" s="5" t="s">
        <v>27</v>
      </c>
      <c r="AO13" s="3" t="s">
        <v>21</v>
      </c>
      <c r="AR13" s="7" t="s">
        <v>22</v>
      </c>
      <c r="AS13" s="8" t="s">
        <v>28</v>
      </c>
      <c r="AT13" s="9" t="s">
        <v>29</v>
      </c>
      <c r="AU13" s="8" t="s">
        <v>30</v>
      </c>
      <c r="AV13" s="8" t="s">
        <v>31</v>
      </c>
      <c r="AW13" s="8"/>
      <c r="AX13" s="10"/>
      <c r="AZ13" t="s">
        <v>36</v>
      </c>
      <c r="BA13" t="s">
        <v>28</v>
      </c>
      <c r="BB13" s="15" t="s">
        <v>29</v>
      </c>
      <c r="BC13" t="s">
        <v>30</v>
      </c>
      <c r="BD13" t="s">
        <v>31</v>
      </c>
    </row>
    <row r="14" spans="1:57" x14ac:dyDescent="0.3">
      <c r="J14" t="s">
        <v>0</v>
      </c>
      <c r="K14" t="s">
        <v>1</v>
      </c>
      <c r="L14" t="s">
        <v>2</v>
      </c>
      <c r="M14" t="s">
        <v>3</v>
      </c>
      <c r="AJ14" t="s">
        <v>22</v>
      </c>
      <c r="AK14" s="1">
        <v>1</v>
      </c>
      <c r="AL14" s="1">
        <v>0.5</v>
      </c>
      <c r="AM14" s="1">
        <v>0.16666666666666666</v>
      </c>
      <c r="AN14" s="1">
        <f>POWER(AK14*AL14*AM14, 1/3)</f>
        <v>0.4367902323681494</v>
      </c>
      <c r="AO14">
        <f>AN14/SUM($AN$14:$AN$16)</f>
        <v>0.1111111111111111</v>
      </c>
      <c r="AR14" s="11" t="s">
        <v>28</v>
      </c>
      <c r="AS14" s="1">
        <v>1</v>
      </c>
      <c r="AT14" s="1">
        <v>9</v>
      </c>
      <c r="AU14" s="1">
        <v>9</v>
      </c>
      <c r="AV14" s="1">
        <v>9</v>
      </c>
      <c r="AW14" s="1">
        <f>POWER(AS14*AT14*AU14*AV14, 1/4)</f>
        <v>5.196152422706632</v>
      </c>
      <c r="AX14" s="12">
        <f>AW14/SUM($AW$14:$AW$17)</f>
        <v>0.74999999999999989</v>
      </c>
      <c r="AZ14" t="s">
        <v>22</v>
      </c>
      <c r="BA14">
        <f>AX14</f>
        <v>0.74999999999999989</v>
      </c>
      <c r="BB14">
        <f>AX15</f>
        <v>8.3333333333333315E-2</v>
      </c>
      <c r="BC14">
        <f>AX16</f>
        <v>8.3333333333333315E-2</v>
      </c>
      <c r="BD14">
        <f>AX17</f>
        <v>8.3333333333333315E-2</v>
      </c>
      <c r="BE14" s="6">
        <f t="shared" ref="BE14:BE17" si="4">SUM(BA14:BD14)</f>
        <v>0.99999999999999978</v>
      </c>
    </row>
    <row r="15" spans="1:57" ht="33" customHeight="1" x14ac:dyDescent="0.3">
      <c r="A15" t="s">
        <v>9</v>
      </c>
      <c r="J15">
        <f>MIN(B9,B21,B31)</f>
        <v>9.1603053435114476E-2</v>
      </c>
      <c r="K15">
        <f>MIN(C9,C21,C31)</f>
        <v>6.1349693251533742E-2</v>
      </c>
      <c r="L15">
        <f t="shared" ref="L15:M15" si="5">MIN(D9,D21,D31)</f>
        <v>7.8212290502793297E-2</v>
      </c>
      <c r="M15">
        <f t="shared" si="5"/>
        <v>0.11731843575418995</v>
      </c>
      <c r="AJ15" t="s">
        <v>23</v>
      </c>
      <c r="AK15" s="1">
        <f>AK16/3</f>
        <v>2</v>
      </c>
      <c r="AL15" s="1">
        <v>1</v>
      </c>
      <c r="AM15" s="1">
        <v>0.33333333333333331</v>
      </c>
      <c r="AN15" s="1">
        <f t="shared" ref="AN15:AN16" si="6">POWER(AK15*AL15*AM15, 1/3)</f>
        <v>0.87358046473629891</v>
      </c>
      <c r="AO15">
        <f>AN15/SUM($AN$14:$AN$16)</f>
        <v>0.22222222222222224</v>
      </c>
      <c r="AR15" s="13" t="s">
        <v>29</v>
      </c>
      <c r="AS15" s="1">
        <v>0.1111111111111111</v>
      </c>
      <c r="AT15" s="1">
        <v>1</v>
      </c>
      <c r="AU15" s="1">
        <v>1</v>
      </c>
      <c r="AV15" s="1">
        <v>1</v>
      </c>
      <c r="AW15" s="1">
        <f>POWER(AS15*AT15*AU15*AV15, 1/4)</f>
        <v>0.57735026918962573</v>
      </c>
      <c r="AX15" s="12">
        <f>AW15/SUM($AW$14:$AW$17)</f>
        <v>8.3333333333333315E-2</v>
      </c>
      <c r="AZ15" t="s">
        <v>23</v>
      </c>
      <c r="BA15">
        <f>AX22</f>
        <v>6.25E-2</v>
      </c>
      <c r="BB15">
        <f>AX23</f>
        <v>0.4375</v>
      </c>
      <c r="BC15">
        <f>AX24</f>
        <v>6.25E-2</v>
      </c>
      <c r="BD15">
        <f>AX25</f>
        <v>0.4375</v>
      </c>
      <c r="BE15" s="6">
        <f t="shared" si="4"/>
        <v>1</v>
      </c>
    </row>
    <row r="16" spans="1:57" x14ac:dyDescent="0.3">
      <c r="B16" t="s">
        <v>0</v>
      </c>
      <c r="C16" t="s">
        <v>1</v>
      </c>
      <c r="D16" t="s">
        <v>2</v>
      </c>
      <c r="E16" t="s">
        <v>3</v>
      </c>
      <c r="J16" t="s">
        <v>15</v>
      </c>
      <c r="K16" t="s">
        <v>13</v>
      </c>
      <c r="L16" t="s">
        <v>14</v>
      </c>
      <c r="M16" t="s">
        <v>16</v>
      </c>
      <c r="AJ16" t="s">
        <v>24</v>
      </c>
      <c r="AK16" s="1">
        <v>6</v>
      </c>
      <c r="AL16" s="1">
        <v>3</v>
      </c>
      <c r="AM16" s="1">
        <v>1</v>
      </c>
      <c r="AN16" s="1">
        <f t="shared" si="6"/>
        <v>2.6207413942088964</v>
      </c>
      <c r="AO16">
        <f>AN16/SUM($AN$14:$AN$16)</f>
        <v>0.66666666666666663</v>
      </c>
      <c r="AR16" s="11" t="s">
        <v>30</v>
      </c>
      <c r="AS16" s="1">
        <v>0.1111111111111111</v>
      </c>
      <c r="AT16" s="1">
        <v>1</v>
      </c>
      <c r="AU16" s="1">
        <v>1</v>
      </c>
      <c r="AV16" s="1">
        <v>1</v>
      </c>
      <c r="AW16" s="1">
        <f t="shared" ref="AW16:AW17" si="7">POWER(AS16*AT16*AU16*AV16, 1/4)</f>
        <v>0.57735026918962573</v>
      </c>
      <c r="AX16" s="12">
        <f>AW16/SUM($AW$14:$AW$17)</f>
        <v>8.3333333333333315E-2</v>
      </c>
      <c r="AZ16" t="s">
        <v>25</v>
      </c>
      <c r="BA16">
        <f>AX31</f>
        <v>6.0169178235695002E-2</v>
      </c>
      <c r="BB16">
        <f>AX32</f>
        <v>0.29956211065936944</v>
      </c>
      <c r="BC16">
        <f>AX33</f>
        <v>0.58009953286924065</v>
      </c>
      <c r="BD16">
        <f>AX34</f>
        <v>6.0169178235695002E-2</v>
      </c>
      <c r="BE16" s="6">
        <f t="shared" si="4"/>
        <v>1</v>
      </c>
    </row>
    <row r="17" spans="1:57" x14ac:dyDescent="0.3">
      <c r="A17" t="s">
        <v>0</v>
      </c>
      <c r="B17" s="1">
        <v>1</v>
      </c>
      <c r="C17" s="1">
        <v>0.8571428571428571</v>
      </c>
      <c r="D17" s="1">
        <v>0.14285714285714285</v>
      </c>
      <c r="E17" s="1">
        <v>0.5714285714285714</v>
      </c>
      <c r="AL17" t="s">
        <v>47</v>
      </c>
      <c r="AM17" t="s">
        <v>48</v>
      </c>
      <c r="AN17" t="s">
        <v>49</v>
      </c>
      <c r="AO17" s="4">
        <f>SUM(AO14:AO16)</f>
        <v>1</v>
      </c>
      <c r="AR17" s="11" t="s">
        <v>31</v>
      </c>
      <c r="AS17" s="1">
        <v>0.1111111111111111</v>
      </c>
      <c r="AT17" s="1">
        <v>1</v>
      </c>
      <c r="AU17" s="1">
        <v>1</v>
      </c>
      <c r="AV17" s="1">
        <v>1</v>
      </c>
      <c r="AW17" s="1">
        <f t="shared" si="7"/>
        <v>0.57735026918962573</v>
      </c>
      <c r="AX17" s="12">
        <f>AW17/SUM($AW$14:$AW$17)</f>
        <v>8.3333333333333315E-2</v>
      </c>
      <c r="AZ17" t="s">
        <v>24</v>
      </c>
      <c r="BA17">
        <f>AX39</f>
        <v>0.10227272727272728</v>
      </c>
      <c r="BB17">
        <f>AX40</f>
        <v>7.9545454545454558E-2</v>
      </c>
      <c r="BC17">
        <f>AX41</f>
        <v>0.71590909090909094</v>
      </c>
      <c r="BD17">
        <f>AX42</f>
        <v>0.10227272727272728</v>
      </c>
      <c r="BE17" s="6">
        <f t="shared" si="4"/>
        <v>1</v>
      </c>
    </row>
    <row r="18" spans="1:57" x14ac:dyDescent="0.3">
      <c r="A18" t="s">
        <v>1</v>
      </c>
      <c r="B18" s="1">
        <v>1.1666666666666701</v>
      </c>
      <c r="C18" s="1">
        <v>1</v>
      </c>
      <c r="D18" s="1">
        <v>0.16666666666666666</v>
      </c>
      <c r="E18" s="1">
        <v>0.66666666666666663</v>
      </c>
      <c r="AL18" s="19">
        <f>(((AK14*AO14+AL14*AO15+AM14*AO16) / AO14) + ((AK15*AO14+AL15*AO15+AM15*AO16) / AO15)  + ((AK16*AO14+AL16*AO15+AM16*AO16)/AO16)) / 3</f>
        <v>3</v>
      </c>
      <c r="AM18">
        <f>(3-3)/(3-1)</f>
        <v>0</v>
      </c>
      <c r="AN18">
        <f>AM18/0.58</f>
        <v>0</v>
      </c>
      <c r="AR18" s="11"/>
      <c r="AX18" s="14">
        <f>SUM(AX14:AX17)</f>
        <v>0.99999999999999978</v>
      </c>
    </row>
    <row r="19" spans="1:57" x14ac:dyDescent="0.3">
      <c r="A19" t="s">
        <v>2</v>
      </c>
      <c r="B19" s="1">
        <v>7</v>
      </c>
      <c r="C19" s="1">
        <v>6</v>
      </c>
      <c r="D19" s="1">
        <v>1</v>
      </c>
      <c r="E19" s="1">
        <v>4</v>
      </c>
      <c r="AR19" s="11"/>
      <c r="AX19" s="12"/>
    </row>
    <row r="20" spans="1:57" x14ac:dyDescent="0.3">
      <c r="A20" t="s">
        <v>3</v>
      </c>
      <c r="B20" s="1">
        <v>1.75</v>
      </c>
      <c r="C20" s="1">
        <v>1.5</v>
      </c>
      <c r="D20" s="1">
        <v>0.25</v>
      </c>
      <c r="E20" s="1">
        <v>1</v>
      </c>
      <c r="I20" t="s">
        <v>12</v>
      </c>
      <c r="AJ20" t="s">
        <v>19</v>
      </c>
      <c r="AR20" s="11"/>
      <c r="AX20" s="12"/>
    </row>
    <row r="21" spans="1:57" ht="31.5" customHeight="1" x14ac:dyDescent="0.3">
      <c r="A21" t="s">
        <v>8</v>
      </c>
      <c r="B21">
        <f>1/SUM(B17:B20)</f>
        <v>9.1603053435114476E-2</v>
      </c>
      <c r="C21">
        <f t="shared" ref="C21" si="8">1/SUM(C17:C20)</f>
        <v>0.10687022900763359</v>
      </c>
      <c r="D21">
        <f t="shared" ref="D21" si="9">1/SUM(D17:D20)</f>
        <v>0.64122137404580148</v>
      </c>
      <c r="E21">
        <f t="shared" ref="E21" si="10">1/SUM(E17:E20)</f>
        <v>0.16030534351145037</v>
      </c>
      <c r="F21">
        <f>SUM(B21:E21)</f>
        <v>1</v>
      </c>
      <c r="J21" t="s">
        <v>0</v>
      </c>
      <c r="K21" t="s">
        <v>1</v>
      </c>
      <c r="L21" t="s">
        <v>2</v>
      </c>
      <c r="M21" t="s">
        <v>3</v>
      </c>
      <c r="AK21" t="s">
        <v>22</v>
      </c>
      <c r="AL21" t="s">
        <v>23</v>
      </c>
      <c r="AM21" t="s">
        <v>25</v>
      </c>
      <c r="AN21" s="5" t="s">
        <v>27</v>
      </c>
      <c r="AO21" s="3" t="s">
        <v>21</v>
      </c>
      <c r="AR21" s="11" t="s">
        <v>23</v>
      </c>
      <c r="AS21" t="s">
        <v>28</v>
      </c>
      <c r="AT21" s="15" t="s">
        <v>29</v>
      </c>
      <c r="AU21" t="s">
        <v>30</v>
      </c>
      <c r="AV21" t="s">
        <v>31</v>
      </c>
      <c r="AX21" s="12"/>
      <c r="AZ21" t="s">
        <v>33</v>
      </c>
    </row>
    <row r="22" spans="1:57" x14ac:dyDescent="0.3">
      <c r="J22">
        <f>MIN(POWER(B9, $J$8), POWER(B21, $K$8), POWER(B31, $L$8))</f>
        <v>0.29639381268009679</v>
      </c>
      <c r="K22">
        <f>MIN(POWER(C9, $J$8), POWER(C21, $K$8), POWER(C31, $L$8))</f>
        <v>0.3168574535165693</v>
      </c>
      <c r="L22">
        <f t="shared" ref="L22" si="11">MIN(POWER(D9, $J$8), POWER(D21, $K$8), POWER(D31, $L$8))</f>
        <v>0.25946977019966977</v>
      </c>
      <c r="M22">
        <f>MIN(POWER(E9, $J$8), POWER(E21, $K$8), POWER(E31, $L$8))</f>
        <v>0.32159667610067538</v>
      </c>
      <c r="AJ22" t="s">
        <v>22</v>
      </c>
      <c r="AK22" s="1">
        <v>1</v>
      </c>
      <c r="AL22" s="1">
        <v>0.25</v>
      </c>
      <c r="AM22" s="1">
        <v>0.14285714285714285</v>
      </c>
      <c r="AN22" s="1">
        <f>POWER(AK22*AL22*AM22, 1/3)</f>
        <v>0.32931687800417481</v>
      </c>
      <c r="AO22">
        <f>AN22/SUM($AN$22:$AN$24)</f>
        <v>8.3333333333333343E-2</v>
      </c>
      <c r="AR22" s="11" t="s">
        <v>28</v>
      </c>
      <c r="AS22" s="1">
        <v>1</v>
      </c>
      <c r="AT22" s="1">
        <v>0.14285714285714285</v>
      </c>
      <c r="AU22" s="1">
        <v>1</v>
      </c>
      <c r="AV22" s="1">
        <v>0.14285714285714285</v>
      </c>
      <c r="AW22" s="1">
        <f>POWER(AS22*AT22*AU22*AV22, 1/4)</f>
        <v>0.3779644730092272</v>
      </c>
      <c r="AX22" s="12">
        <f>AW22/SUM($AW$22:$AW$25)</f>
        <v>6.25E-2</v>
      </c>
      <c r="AZ22" t="s">
        <v>42</v>
      </c>
    </row>
    <row r="23" spans="1:57" ht="28.8" x14ac:dyDescent="0.3">
      <c r="J23" t="s">
        <v>14</v>
      </c>
      <c r="K23" t="s">
        <v>15</v>
      </c>
      <c r="L23" t="s">
        <v>13</v>
      </c>
      <c r="M23" t="s">
        <v>16</v>
      </c>
      <c r="AJ23" t="s">
        <v>23</v>
      </c>
      <c r="AK23" s="1">
        <v>4</v>
      </c>
      <c r="AL23" s="1">
        <v>1</v>
      </c>
      <c r="AM23" s="1">
        <f>AM22/AL22</f>
        <v>0.5714285714285714</v>
      </c>
      <c r="AN23" s="1">
        <f t="shared" ref="AN23:AN24" si="12">POWER(AK23*AL23*AM23, 1/3)</f>
        <v>1.317267512016699</v>
      </c>
      <c r="AO23">
        <f>AN23/SUM($AN$22:$AN$24)</f>
        <v>0.33333333333333331</v>
      </c>
      <c r="AR23" s="13" t="s">
        <v>29</v>
      </c>
      <c r="AS23" s="1">
        <v>7</v>
      </c>
      <c r="AT23" s="1">
        <v>1</v>
      </c>
      <c r="AU23" s="1">
        <v>7</v>
      </c>
      <c r="AV23" s="1">
        <f>AV22/AT22</f>
        <v>1</v>
      </c>
      <c r="AW23" s="1">
        <f>POWER(AS23*AT23*AU23*AV23, 1/4)</f>
        <v>2.6457513110645903</v>
      </c>
      <c r="AX23" s="12">
        <f>AW23/SUM($AW$22:$AW$25)</f>
        <v>0.4375</v>
      </c>
      <c r="AZ23" t="s">
        <v>37</v>
      </c>
      <c r="BA23">
        <f>($AO$7*AS7) + ($AO$8*AS8) + ($AO$9*AS9)</f>
        <v>8.3333333333333343E-2</v>
      </c>
      <c r="BB23" t="s">
        <v>13</v>
      </c>
    </row>
    <row r="24" spans="1:57" x14ac:dyDescent="0.3">
      <c r="AJ24" t="s">
        <v>25</v>
      </c>
      <c r="AK24" s="1">
        <v>7</v>
      </c>
      <c r="AL24" s="1">
        <f>AL22/AM22</f>
        <v>1.75</v>
      </c>
      <c r="AM24" s="1">
        <v>1</v>
      </c>
      <c r="AN24" s="1">
        <f t="shared" si="12"/>
        <v>2.3052181460292234</v>
      </c>
      <c r="AO24">
        <f>AN24/SUM($AN$22:$AN$24)</f>
        <v>0.58333333333333326</v>
      </c>
      <c r="AR24" s="11" t="s">
        <v>30</v>
      </c>
      <c r="AS24" s="1">
        <v>1</v>
      </c>
      <c r="AT24" s="1">
        <v>0.14285714285714285</v>
      </c>
      <c r="AU24" s="1">
        <v>1</v>
      </c>
      <c r="AV24" s="1">
        <f>AV23/AU23</f>
        <v>0.14285714285714285</v>
      </c>
      <c r="AW24" s="1">
        <f t="shared" ref="AW24:AW25" si="13">POWER(AS24*AT24*AU24*AV24, 1/4)</f>
        <v>0.3779644730092272</v>
      </c>
      <c r="AX24" s="12">
        <f>AW24/SUM($AW$22:$AW$25)</f>
        <v>6.25E-2</v>
      </c>
      <c r="AZ24" t="s">
        <v>38</v>
      </c>
      <c r="BA24">
        <f>($AO$7*AT7) + ($AO$8*AT8) + ($AO$9*AT9)</f>
        <v>0.34591194968553463</v>
      </c>
      <c r="BB24" t="s">
        <v>16</v>
      </c>
    </row>
    <row r="25" spans="1:57" x14ac:dyDescent="0.3">
      <c r="A25" t="s">
        <v>10</v>
      </c>
      <c r="AL25" t="s">
        <v>47</v>
      </c>
      <c r="AM25" t="s">
        <v>48</v>
      </c>
      <c r="AN25" t="s">
        <v>49</v>
      </c>
      <c r="AO25" s="4">
        <f>SUM(AO22:AO24)</f>
        <v>0.99999999999999989</v>
      </c>
      <c r="AR25" s="11" t="s">
        <v>31</v>
      </c>
      <c r="AS25" s="1">
        <v>7</v>
      </c>
      <c r="AT25" s="1">
        <f>AT22/AV22</f>
        <v>1</v>
      </c>
      <c r="AU25" s="1">
        <f>AU23/AV23</f>
        <v>7</v>
      </c>
      <c r="AV25" s="1">
        <v>1</v>
      </c>
      <c r="AW25" s="1">
        <f t="shared" si="13"/>
        <v>2.6457513110645903</v>
      </c>
      <c r="AX25" s="12">
        <f>AW25/SUM($AW$22:$AW$25)</f>
        <v>0.4375</v>
      </c>
      <c r="AZ25" t="s">
        <v>39</v>
      </c>
      <c r="BA25">
        <f>($AO$7*AU7) + ($AO$8*AU8) + ($AO$9*AU9)</f>
        <v>0.26347708894878707</v>
      </c>
      <c r="BB25" t="s">
        <v>14</v>
      </c>
    </row>
    <row r="26" spans="1:57" x14ac:dyDescent="0.3">
      <c r="B26" t="s">
        <v>0</v>
      </c>
      <c r="C26" t="s">
        <v>1</v>
      </c>
      <c r="D26" t="s">
        <v>2</v>
      </c>
      <c r="E26" t="s">
        <v>3</v>
      </c>
      <c r="AL26" s="19">
        <f>(((AK22*AO22+AL22*AO23+AM22*AO24) / AO22) + ((AK23*AO22+AL23*AO23+AM23*AO24) / AO23)  + ((AK24*AO22+AL24*AO23+AM24*AO24)/AO24)) / 3</f>
        <v>3</v>
      </c>
      <c r="AM26">
        <f>(3-3)/(3-1)</f>
        <v>0</v>
      </c>
      <c r="AN26">
        <f>AM26/0.58</f>
        <v>0</v>
      </c>
      <c r="AR26" s="11"/>
      <c r="AX26" s="14">
        <f>SUM(AX22:AX25)</f>
        <v>1</v>
      </c>
      <c r="AZ26" t="s">
        <v>40</v>
      </c>
      <c r="BA26">
        <f>($AO$7*AV7) + ($AO$8*AV8) + ($AO$9*AV9)</f>
        <v>0.30727762803234498</v>
      </c>
      <c r="BB26" t="s">
        <v>15</v>
      </c>
    </row>
    <row r="27" spans="1:57" x14ac:dyDescent="0.3">
      <c r="A27" t="s">
        <v>0</v>
      </c>
      <c r="B27" s="1">
        <v>1</v>
      </c>
      <c r="C27" s="1">
        <v>0.14285714285714285</v>
      </c>
      <c r="D27" s="1">
        <v>1.2857142857142858</v>
      </c>
      <c r="E27" s="1">
        <v>0.8571428571428571</v>
      </c>
      <c r="AR27" s="11"/>
      <c r="AX27" s="12"/>
      <c r="BA27" s="6">
        <f>SUM(BA23:BA26)</f>
        <v>1</v>
      </c>
    </row>
    <row r="28" spans="1:57" x14ac:dyDescent="0.3">
      <c r="A28" t="s">
        <v>1</v>
      </c>
      <c r="B28" s="1">
        <v>7</v>
      </c>
      <c r="C28" s="1">
        <v>1</v>
      </c>
      <c r="D28" s="1">
        <v>9</v>
      </c>
      <c r="E28" s="1">
        <v>6</v>
      </c>
      <c r="AR28" s="11"/>
      <c r="AX28" s="12"/>
    </row>
    <row r="29" spans="1:57" x14ac:dyDescent="0.3">
      <c r="A29" t="s">
        <v>2</v>
      </c>
      <c r="B29" s="1">
        <v>0.77777777777777779</v>
      </c>
      <c r="C29" s="1">
        <v>0.1111111111111111</v>
      </c>
      <c r="D29" s="1">
        <v>1</v>
      </c>
      <c r="E29" s="1">
        <v>0.66666666666666663</v>
      </c>
      <c r="AJ29" t="s">
        <v>20</v>
      </c>
      <c r="AR29" s="11"/>
      <c r="AX29" s="12"/>
    </row>
    <row r="30" spans="1:57" ht="27.75" customHeight="1" x14ac:dyDescent="0.3">
      <c r="A30" t="s">
        <v>3</v>
      </c>
      <c r="B30" s="1">
        <v>1.1666666666666667</v>
      </c>
      <c r="C30" s="1">
        <v>0.16666666666666666</v>
      </c>
      <c r="D30" s="1">
        <v>1.5</v>
      </c>
      <c r="E30" s="1">
        <v>1</v>
      </c>
      <c r="AK30" t="s">
        <v>23</v>
      </c>
      <c r="AL30" t="s">
        <v>25</v>
      </c>
      <c r="AM30" t="s">
        <v>24</v>
      </c>
      <c r="AN30" s="5" t="s">
        <v>27</v>
      </c>
      <c r="AO30" s="3" t="s">
        <v>21</v>
      </c>
      <c r="AR30" s="11" t="s">
        <v>25</v>
      </c>
      <c r="AS30" t="s">
        <v>28</v>
      </c>
      <c r="AT30" s="15" t="s">
        <v>29</v>
      </c>
      <c r="AU30" t="s">
        <v>30</v>
      </c>
      <c r="AV30" t="s">
        <v>31</v>
      </c>
      <c r="AX30" s="12"/>
      <c r="AZ30" t="s">
        <v>41</v>
      </c>
    </row>
    <row r="31" spans="1:57" x14ac:dyDescent="0.3">
      <c r="A31" t="s">
        <v>8</v>
      </c>
      <c r="B31">
        <f>1/SUM(B27:B30)</f>
        <v>0.10055865921787709</v>
      </c>
      <c r="C31">
        <f t="shared" ref="C31" si="14">1/SUM(C27:C30)</f>
        <v>0.70391061452513959</v>
      </c>
      <c r="D31">
        <f t="shared" ref="D31" si="15">1/SUM(D27:D30)</f>
        <v>7.8212290502793297E-2</v>
      </c>
      <c r="E31">
        <f t="shared" ref="E31" si="16">1/SUM(E27:E30)</f>
        <v>0.11731843575418995</v>
      </c>
      <c r="F31">
        <f>SUM(B31:E31)</f>
        <v>1</v>
      </c>
      <c r="AJ31" t="s">
        <v>23</v>
      </c>
      <c r="AK31" s="1">
        <v>1</v>
      </c>
      <c r="AL31" s="1">
        <v>8</v>
      </c>
      <c r="AM31" s="1">
        <v>5</v>
      </c>
      <c r="AN31" s="1">
        <f>POWER(AK31*AL31*AM31, 1/3)</f>
        <v>3.4199518933533941</v>
      </c>
      <c r="AO31" s="21">
        <f>AN31/SUM($AN$31:$AN$33)</f>
        <v>0.75471698113207553</v>
      </c>
      <c r="AR31" s="11" t="s">
        <v>28</v>
      </c>
      <c r="AS31" s="1">
        <v>1</v>
      </c>
      <c r="AT31" s="1">
        <v>0.125</v>
      </c>
      <c r="AU31" s="1">
        <v>0.16666666666666666</v>
      </c>
      <c r="AV31" s="1">
        <v>1</v>
      </c>
      <c r="AW31" s="1">
        <f>POWER(AS31*AT31*AU31*AV31, 1/4)</f>
        <v>0.37991784282579627</v>
      </c>
      <c r="AX31" s="12">
        <f>AW31/SUM($AW$31:$AW$34)</f>
        <v>6.0169178235695002E-2</v>
      </c>
      <c r="AZ31" t="s">
        <v>43</v>
      </c>
      <c r="BA31">
        <f>($BA$23*BA14) + ($BA$24*BA15) + ($BA$25*BA16) + ($BA$26*BA17)</f>
        <v>0.13139881783009011</v>
      </c>
      <c r="BB31" t="s">
        <v>13</v>
      </c>
    </row>
    <row r="32" spans="1:57" ht="28.8" x14ac:dyDescent="0.3">
      <c r="AJ32" t="s">
        <v>25</v>
      </c>
      <c r="AK32" s="1">
        <f>1/8</f>
        <v>0.125</v>
      </c>
      <c r="AL32" s="1">
        <v>1</v>
      </c>
      <c r="AM32" s="20">
        <f>AM31/AL31</f>
        <v>0.625</v>
      </c>
      <c r="AN32" s="1">
        <f t="shared" ref="AN32:AN33" si="17">POWER(AK32*AL32*AM32, 1/3)</f>
        <v>0.42749398666917426</v>
      </c>
      <c r="AO32" s="2">
        <f>AN32/SUM($AN$31:$AN$33)</f>
        <v>9.4339622641509441E-2</v>
      </c>
      <c r="AR32" s="13" t="s">
        <v>29</v>
      </c>
      <c r="AS32" s="1">
        <v>8</v>
      </c>
      <c r="AT32" s="1">
        <v>1</v>
      </c>
      <c r="AU32" s="1">
        <v>0.2</v>
      </c>
      <c r="AV32" s="1">
        <f>AV31/AT31</f>
        <v>8</v>
      </c>
      <c r="AW32" s="1">
        <f>POWER(AS32*AT32*AU32*AV32, 1/4)</f>
        <v>1.8914832180063517</v>
      </c>
      <c r="AX32" s="12">
        <f>AW32/SUM($AW$31:$AW$34)</f>
        <v>0.29956211065936944</v>
      </c>
      <c r="AZ32" t="s">
        <v>44</v>
      </c>
      <c r="BA32">
        <f>($BA$23*BB14) + ($BA$24*BB15) + ($BA$25*BB16) + ($BA$26*BB17)</f>
        <v>0.26165121390123292</v>
      </c>
      <c r="BB32" t="s">
        <v>15</v>
      </c>
    </row>
    <row r="33" spans="36:80" x14ac:dyDescent="0.3">
      <c r="AJ33" t="s">
        <v>24</v>
      </c>
      <c r="AK33" s="1">
        <v>0.2</v>
      </c>
      <c r="AL33" s="1">
        <f>8/5</f>
        <v>1.6</v>
      </c>
      <c r="AM33" s="1">
        <v>1</v>
      </c>
      <c r="AN33" s="1">
        <f t="shared" si="17"/>
        <v>0.6839903786706788</v>
      </c>
      <c r="AO33" s="2">
        <f>AN33/SUM($AN$31:$AN$33)</f>
        <v>0.15094339622641512</v>
      </c>
      <c r="AR33" s="11" t="s">
        <v>30</v>
      </c>
      <c r="AS33" s="1">
        <v>6</v>
      </c>
      <c r="AT33" s="1">
        <v>5</v>
      </c>
      <c r="AU33" s="1">
        <v>1</v>
      </c>
      <c r="AV33" s="1">
        <f>AV31/AU31</f>
        <v>6</v>
      </c>
      <c r="AW33" s="1">
        <f t="shared" ref="AW33:AW34" si="18">POWER(AS33*AT33*AU33*AV33, 1/4)</f>
        <v>3.6628415014847064</v>
      </c>
      <c r="AX33" s="12">
        <f>AW33/SUM($AW$31:$AW$34)</f>
        <v>0.58009953286924065</v>
      </c>
      <c r="AZ33" t="s">
        <v>45</v>
      </c>
      <c r="BA33">
        <f>($BA$23*BC14) + ($BA$24*BC15) + ($BA$25*BC16) + ($BA$26*BC17)</f>
        <v>0.40138972486206703</v>
      </c>
      <c r="BB33" t="s">
        <v>16</v>
      </c>
    </row>
    <row r="34" spans="36:80" x14ac:dyDescent="0.3">
      <c r="AL34" t="s">
        <v>47</v>
      </c>
      <c r="AM34" t="s">
        <v>48</v>
      </c>
      <c r="AN34" t="s">
        <v>49</v>
      </c>
      <c r="AO34" s="4">
        <f>SUM(AO31:AO33)</f>
        <v>1</v>
      </c>
      <c r="AR34" s="11" t="s">
        <v>31</v>
      </c>
      <c r="AS34" s="1">
        <v>1</v>
      </c>
      <c r="AT34" s="1">
        <f>AT31/AV31</f>
        <v>0.125</v>
      </c>
      <c r="AU34" s="1">
        <f>AU31/AV31</f>
        <v>0.16666666666666666</v>
      </c>
      <c r="AV34" s="1">
        <v>1</v>
      </c>
      <c r="AW34" s="1">
        <f t="shared" si="18"/>
        <v>0.37991784282579627</v>
      </c>
      <c r="AX34" s="12">
        <f>AW34/SUM($AW$31:$AW$34)</f>
        <v>6.0169178235695002E-2</v>
      </c>
      <c r="AZ34" t="s">
        <v>46</v>
      </c>
      <c r="BA34">
        <f>($BA$23*BD14) + ($BA$24*BD15) + ($BA$25*BD16) + ($BA$26*BD17)</f>
        <v>0.20556024340661003</v>
      </c>
      <c r="BB34" t="s">
        <v>14</v>
      </c>
    </row>
    <row r="35" spans="36:80" x14ac:dyDescent="0.3">
      <c r="AL35" s="19">
        <f>(((AK31*AO31+AL31*AO32+AM31*AO33) / AO31) + ((AK32*AO31+AL32*AO32+AM32*AO33) / AO32)  + ((AK33*AO31+AL33*AO32+AM33*AO33)/AO33)) / 3</f>
        <v>3</v>
      </c>
      <c r="AM35">
        <f>(3-3)/(3-1)</f>
        <v>0</v>
      </c>
      <c r="AN35">
        <f>AM35/0.58</f>
        <v>0</v>
      </c>
      <c r="AR35" s="11"/>
      <c r="AX35" s="14">
        <f>SUM(AX31:AX34)</f>
        <v>1</v>
      </c>
      <c r="BA35" s="6">
        <f>SUM(BA31:BA34)</f>
        <v>1</v>
      </c>
    </row>
    <row r="36" spans="36:80" x14ac:dyDescent="0.3">
      <c r="AR36" s="11"/>
      <c r="AX36" s="12"/>
    </row>
    <row r="37" spans="36:80" x14ac:dyDescent="0.3">
      <c r="AR37" s="11"/>
      <c r="AX37" s="12"/>
    </row>
    <row r="38" spans="36:80" ht="28.8" x14ac:dyDescent="0.3">
      <c r="AR38" s="11" t="s">
        <v>32</v>
      </c>
      <c r="AS38" t="s">
        <v>28</v>
      </c>
      <c r="AT38" s="15" t="s">
        <v>29</v>
      </c>
      <c r="AU38" t="s">
        <v>30</v>
      </c>
      <c r="AV38" t="s">
        <v>31</v>
      </c>
      <c r="AX38" s="12"/>
    </row>
    <row r="39" spans="36:80" x14ac:dyDescent="0.3">
      <c r="AR39" s="11" t="s">
        <v>28</v>
      </c>
      <c r="AS39" s="1">
        <v>1</v>
      </c>
      <c r="AT39" s="1">
        <f>AT41/AS41</f>
        <v>1.2857142857142858</v>
      </c>
      <c r="AU39" s="1">
        <v>0.14285714285714285</v>
      </c>
      <c r="AV39" s="1">
        <v>1</v>
      </c>
      <c r="AW39" s="1">
        <f>POWER(AS39*AT39*AU39*AV39, 1/4)</f>
        <v>0.6546536707079772</v>
      </c>
      <c r="AX39" s="12">
        <f>AW39/SUM($AW$39:$AW$42)</f>
        <v>0.10227272727272728</v>
      </c>
    </row>
    <row r="40" spans="36:80" ht="28.8" x14ac:dyDescent="0.3">
      <c r="AR40" s="13" t="s">
        <v>29</v>
      </c>
      <c r="AS40" s="1">
        <f>AS41/AT41</f>
        <v>0.77777777777777779</v>
      </c>
      <c r="AT40" s="1">
        <v>1</v>
      </c>
      <c r="AU40" s="1">
        <v>0.1111111111111111</v>
      </c>
      <c r="AV40" s="1">
        <f>AV41/AT41</f>
        <v>0.77777777777777779</v>
      </c>
      <c r="AW40" s="1">
        <f>POWER(AS40*AT40*AU40*AV40, 1/4)</f>
        <v>0.50917507721731559</v>
      </c>
      <c r="AX40" s="12">
        <f>AW40/SUM($AW$39:$AW$42)</f>
        <v>7.9545454545454558E-2</v>
      </c>
    </row>
    <row r="41" spans="36:80" x14ac:dyDescent="0.3">
      <c r="AR41" s="11" t="s">
        <v>30</v>
      </c>
      <c r="AS41" s="1">
        <v>7</v>
      </c>
      <c r="AT41" s="1">
        <v>9</v>
      </c>
      <c r="AU41" s="1">
        <v>1</v>
      </c>
      <c r="AV41" s="1">
        <v>7</v>
      </c>
      <c r="AW41" s="1">
        <f t="shared" ref="AW41:AW42" si="19">POWER(AS41*AT41*AU41*AV41, 1/4)</f>
        <v>4.5825756949558398</v>
      </c>
      <c r="AX41" s="12">
        <f>AW41/SUM($AW$39:$AW$42)</f>
        <v>0.71590909090909094</v>
      </c>
    </row>
    <row r="42" spans="36:80" x14ac:dyDescent="0.3">
      <c r="AR42" s="11" t="s">
        <v>31</v>
      </c>
      <c r="AS42" s="1">
        <v>1</v>
      </c>
      <c r="AT42" s="1">
        <f>AT41/AV41</f>
        <v>1.2857142857142858</v>
      </c>
      <c r="AU42" s="1">
        <v>0.14285714285714285</v>
      </c>
      <c r="AV42" s="1">
        <v>1</v>
      </c>
      <c r="AW42" s="1">
        <f t="shared" si="19"/>
        <v>0.6546536707079772</v>
      </c>
      <c r="AX42" s="12">
        <f>AW42/SUM($AW$39:$AW$42)</f>
        <v>0.10227272727272728</v>
      </c>
    </row>
    <row r="43" spans="36:80" ht="15" thickBot="1" x14ac:dyDescent="0.35">
      <c r="AR43" s="16"/>
      <c r="AS43" s="17"/>
      <c r="AT43" s="17"/>
      <c r="AU43" s="17"/>
      <c r="AV43" s="17"/>
      <c r="AW43" s="17"/>
      <c r="AX43" s="18">
        <f>SUM(AX39:AX42)</f>
        <v>1</v>
      </c>
    </row>
    <row r="45" spans="36:80" x14ac:dyDescent="0.3">
      <c r="CB45">
        <v>1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Уткин</dc:creator>
  <cp:lastModifiedBy>3BE3DA</cp:lastModifiedBy>
  <dcterms:created xsi:type="dcterms:W3CDTF">2015-06-05T18:19:34Z</dcterms:created>
  <dcterms:modified xsi:type="dcterms:W3CDTF">2026-03-03T15:19:42Z</dcterms:modified>
</cp:coreProperties>
</file>