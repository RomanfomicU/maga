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3BE3DA\maga\2_sem\SSPRP\"/>
    </mc:Choice>
  </mc:AlternateContent>
  <xr:revisionPtr revIDLastSave="0" documentId="13_ncr:1_{BE78F04C-49BA-4EE5-B0F9-5C79D1389A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3" i="1"/>
  <c r="J44" i="1"/>
  <c r="J45" i="1"/>
  <c r="I45" i="1"/>
  <c r="I44" i="1"/>
  <c r="I43" i="1"/>
  <c r="I42" i="1"/>
  <c r="L33" i="1"/>
  <c r="L34" i="1"/>
  <c r="L35" i="1"/>
  <c r="L36" i="1"/>
  <c r="J34" i="1"/>
  <c r="K34" i="1"/>
  <c r="J35" i="1"/>
  <c r="K35" i="1"/>
  <c r="J36" i="1"/>
  <c r="K36" i="1"/>
  <c r="I36" i="1"/>
  <c r="I35" i="1"/>
  <c r="I34" i="1"/>
  <c r="K32" i="1"/>
  <c r="K33" i="1" s="1"/>
  <c r="J33" i="1"/>
  <c r="I33" i="1"/>
</calcChain>
</file>

<file path=xl/sharedStrings.xml><?xml version="1.0" encoding="utf-8"?>
<sst xmlns="http://schemas.openxmlformats.org/spreadsheetml/2006/main" count="114" uniqueCount="94">
  <si>
    <t>Задание 8 — выбор стратегии поставки овощей</t>
  </si>
  <si>
    <t>Матрица задаёт выигрыши как отрицательные дополнительные расходы/убытки, руб.; выбирается максимум.</t>
  </si>
  <si>
    <t>Стратегия магазина</t>
  </si>
  <si>
    <t>b2: поставки нет</t>
  </si>
  <si>
    <t>Параметр</t>
  </si>
  <si>
    <t>Значение</t>
  </si>
  <si>
    <t>a1: ожидать поставку</t>
  </si>
  <si>
    <t>α (Гурвиц)</t>
  </si>
  <si>
    <t>a2: послать транспорт</t>
  </si>
  <si>
    <t>β (Ходжес-Леман)</t>
  </si>
  <si>
    <t>a4: представитель + транспорт</t>
  </si>
  <si>
    <t>p(b1)</t>
  </si>
  <si>
    <t>a5: заказать у базы</t>
  </si>
  <si>
    <t>p(b2)</t>
  </si>
  <si>
    <t>Стратегия</t>
  </si>
  <si>
    <t>max</t>
  </si>
  <si>
    <t>min</t>
  </si>
  <si>
    <t>Гурвиц α=0,3</t>
  </si>
  <si>
    <t>Риск b1</t>
  </si>
  <si>
    <t>Риск b2</t>
  </si>
  <si>
    <t>max риск</t>
  </si>
  <si>
    <t>Байес p=(11/15;4/15)</t>
  </si>
  <si>
    <t>Байес ранж. b1,b2</t>
  </si>
  <si>
    <t>Байес ранж. b2,b1</t>
  </si>
  <si>
    <t>Лаплас</t>
  </si>
  <si>
    <t>Ходжес-Леман β=0,5</t>
  </si>
  <si>
    <t>a5: база</t>
  </si>
  <si>
    <t>Критерий</t>
  </si>
  <si>
    <t>Расчётное значение</t>
  </si>
  <si>
    <t>Выбранная стратегия</t>
  </si>
  <si>
    <t>Критерий азартного игрока</t>
  </si>
  <si>
    <t>Максиминный критерий (Вальда)</t>
  </si>
  <si>
    <t>Критерий Гурвица, α=0,3</t>
  </si>
  <si>
    <t>Критерий Сэвиджа</t>
  </si>
  <si>
    <t>Критерий Байеса, p=(11/15;4/15)</t>
  </si>
  <si>
    <t>Байес по рангу b1,b2</t>
  </si>
  <si>
    <t>Байес по рангу b2,b1</t>
  </si>
  <si>
    <t>Критерий Лапласа</t>
  </si>
  <si>
    <t>Критерий Ходжеса-Лемана, β=0,5</t>
  </si>
  <si>
    <t>Вывод</t>
  </si>
  <si>
    <t>По большинству критериев следует выбрать стратегию a4: послать представителя и транспорт.</t>
  </si>
  <si>
    <t>Исследование зависимости от α (критерий Гурвица)</t>
  </si>
  <si>
    <t>Функции Гурвица</t>
  </si>
  <si>
    <t>Интервал α</t>
  </si>
  <si>
    <t>Условие</t>
  </si>
  <si>
    <t>G1(α)</t>
  </si>
  <si>
    <t>=-20000α</t>
  </si>
  <si>
    <t>0 ≤ α &lt; 0,05</t>
  </si>
  <si>
    <t>a1</t>
  </si>
  <si>
    <t>G1 максимальна</t>
  </si>
  <si>
    <t>G2(α)</t>
  </si>
  <si>
    <t>=-500-10000α</t>
  </si>
  <si>
    <t>α = 0,05</t>
  </si>
  <si>
    <t>a1 или a2</t>
  </si>
  <si>
    <t>G1 = G2</t>
  </si>
  <si>
    <t>G4(α)</t>
  </si>
  <si>
    <t>=-900-4000α</t>
  </si>
  <si>
    <t>0,05 &lt; α &lt; 1/15</t>
  </si>
  <si>
    <t>a2</t>
  </si>
  <si>
    <t>G2 максимальна</t>
  </si>
  <si>
    <t>G5(α)</t>
  </si>
  <si>
    <t>=-5500-300α</t>
  </si>
  <si>
    <t>α = 1/15</t>
  </si>
  <si>
    <t>a2 или a4</t>
  </si>
  <si>
    <t>G2 = G4</t>
  </si>
  <si>
    <t>1/15 &lt; α ≤ 1</t>
  </si>
  <si>
    <t>a4</t>
  </si>
  <si>
    <t>G4 максимальна</t>
  </si>
  <si>
    <t>Исследование зависимости от β (критерий Ходжеса-Лемана)</t>
  </si>
  <si>
    <t>Функции Ходжеса-Лемана</t>
  </si>
  <si>
    <t>Интервал β</t>
  </si>
  <si>
    <t>Обоснование</t>
  </si>
  <si>
    <t>L1(β)</t>
  </si>
  <si>
    <t>=-20000+(44000/3)β</t>
  </si>
  <si>
    <t>0 ≤ β ≤ 1</t>
  </si>
  <si>
    <t>L4(β) больше остальных на всём интервале</t>
  </si>
  <si>
    <t>L2(β)</t>
  </si>
  <si>
    <t>=-10500+(22000/3)β</t>
  </si>
  <si>
    <t>L4(β)</t>
  </si>
  <si>
    <t>=-4900+(8800/3)β</t>
  </si>
  <si>
    <t>L5(β)</t>
  </si>
  <si>
    <t>=-5800+80β</t>
  </si>
  <si>
    <t>b1: своевременная</t>
  </si>
  <si>
    <t>α*min+(1-α)*max</t>
  </si>
  <si>
    <t>p=(2/3;1/3)</t>
  </si>
  <si>
    <t>p=2(n-j+1)/n(n+1)</t>
  </si>
  <si>
    <t>p=(1/3;2/3)</t>
  </si>
  <si>
    <t>p=1/2</t>
  </si>
  <si>
    <t>β*M+(1-β)*min</t>
  </si>
  <si>
    <t>x</t>
  </si>
  <si>
    <t>y1</t>
  </si>
  <si>
    <t>y2</t>
  </si>
  <si>
    <t>y5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</si>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</sst>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4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Font="1"/>
    <xf numFmtId="0" fontId="2" fillId="0" borderId="0" xfId="1" applyFont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24781277340331"/>
          <c:y val="2.5428331875182269E-2"/>
          <c:w val="0.80352296587926508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8'!$H$33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8'!$I$32:$L$32</c:f>
              <c:numCache>
                <c:formatCode>0.00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6.6666666666666666E-2</c:v>
                </c:pt>
                <c:pt idx="3" formatCode="General">
                  <c:v>1</c:v>
                </c:pt>
              </c:numCache>
            </c:numRef>
          </c:xVal>
          <c:yVal>
            <c:numRef>
              <c:f>'Задание 8'!$I$33:$L$33</c:f>
              <c:numCache>
                <c:formatCode>0.00</c:formatCode>
                <c:ptCount val="4"/>
                <c:pt idx="0">
                  <c:v>0</c:v>
                </c:pt>
                <c:pt idx="1">
                  <c:v>-1000</c:v>
                </c:pt>
                <c:pt idx="2">
                  <c:v>-1333.3333333333333</c:v>
                </c:pt>
                <c:pt idx="3">
                  <c:v>-20000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005-44AB-B0E1-36AA52E54E3E}"/>
            </c:ext>
          </c:extLst>
        </c:ser>
        <c:ser>
          <c:idx val="1"/>
          <c:order val="1"/>
          <c:tx>
            <c:strRef>
              <c:f>'Задание 8'!$H$34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8'!$I$32:$L$32</c:f>
              <c:numCache>
                <c:formatCode>0.00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6.6666666666666666E-2</c:v>
                </c:pt>
                <c:pt idx="3" formatCode="General">
                  <c:v>1</c:v>
                </c:pt>
              </c:numCache>
            </c:numRef>
          </c:xVal>
          <c:yVal>
            <c:numRef>
              <c:f>'Задание 8'!$I$34:$L$34</c:f>
              <c:numCache>
                <c:formatCode>0.00</c:formatCode>
                <c:ptCount val="4"/>
                <c:pt idx="0">
                  <c:v>-500</c:v>
                </c:pt>
                <c:pt idx="1">
                  <c:v>-1000</c:v>
                </c:pt>
                <c:pt idx="2">
                  <c:v>-1166.6666666666665</c:v>
                </c:pt>
                <c:pt idx="3">
                  <c:v>-10500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005-44AB-B0E1-36AA52E54E3E}"/>
            </c:ext>
          </c:extLst>
        </c:ser>
        <c:ser>
          <c:idx val="2"/>
          <c:order val="2"/>
          <c:tx>
            <c:strRef>
              <c:f>'Задание 8'!$H$35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8'!$I$32:$L$32</c:f>
              <c:numCache>
                <c:formatCode>0.00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6.6666666666666666E-2</c:v>
                </c:pt>
                <c:pt idx="3" formatCode="General">
                  <c:v>1</c:v>
                </c:pt>
              </c:numCache>
            </c:numRef>
          </c:xVal>
          <c:yVal>
            <c:numRef>
              <c:f>'Задание 8'!$I$35:$L$35</c:f>
              <c:numCache>
                <c:formatCode>0.00</c:formatCode>
                <c:ptCount val="4"/>
                <c:pt idx="0">
                  <c:v>-900</c:v>
                </c:pt>
                <c:pt idx="1">
                  <c:v>-1100</c:v>
                </c:pt>
                <c:pt idx="2">
                  <c:v>-1166.6666666666667</c:v>
                </c:pt>
                <c:pt idx="3">
                  <c:v>-4900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005-44AB-B0E1-36AA52E54E3E}"/>
            </c:ext>
          </c:extLst>
        </c:ser>
        <c:ser>
          <c:idx val="3"/>
          <c:order val="3"/>
          <c:tx>
            <c:strRef>
              <c:f>'Задание 8'!$H$36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8'!$I$32:$L$32</c:f>
              <c:numCache>
                <c:formatCode>0.00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6.6666666666666666E-2</c:v>
                </c:pt>
                <c:pt idx="3" formatCode="General">
                  <c:v>1</c:v>
                </c:pt>
              </c:numCache>
            </c:numRef>
          </c:xVal>
          <c:yVal>
            <c:numRef>
              <c:f>'Задание 8'!$I$36:$L$36</c:f>
              <c:numCache>
                <c:formatCode>0.00</c:formatCode>
                <c:ptCount val="4"/>
                <c:pt idx="0">
                  <c:v>-5500</c:v>
                </c:pt>
                <c:pt idx="1">
                  <c:v>-5515</c:v>
                </c:pt>
                <c:pt idx="2">
                  <c:v>-5520</c:v>
                </c:pt>
                <c:pt idx="3">
                  <c:v>-5800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005-44AB-B0E1-36AA52E54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541536"/>
        <c:axId val="1154312560"/>
      </c:scatterChart>
      <c:valAx>
        <c:axId val="123654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4312560"/>
        <c:crosses val="autoZero"/>
        <c:crossBetween val="midCat"/>
      </c:valAx>
      <c:valAx>
        <c:axId val="115431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654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'Задание 8'!$H$42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8'!$I$41:$J$41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'Задание 8'!$I$42:$J$42</c:f>
              <c:numCache>
                <c:formatCode>General</c:formatCode>
                <c:ptCount val="2"/>
                <c:pt idx="0">
                  <c:v>-20000</c:v>
                </c:pt>
                <c:pt idx="1">
                  <c:v>-5333.3333333333339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8-4A4F-A303-470673A642AD}"/>
            </c:ext>
          </c:extLst>
        </c:ser>
        <c:ser>
          <c:idx val="1"/>
          <c:order val="1"/>
          <c:tx>
            <c:strRef>
              <c:f>'Задание 8'!$H$43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8'!$I$41:$J$41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'Задание 8'!$I$43:$J$43</c:f>
              <c:numCache>
                <c:formatCode>General</c:formatCode>
                <c:ptCount val="2"/>
                <c:pt idx="0">
                  <c:v>-10500</c:v>
                </c:pt>
                <c:pt idx="1">
                  <c:v>-3166.666666666667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88-4A4F-A303-470673A642AD}"/>
            </c:ext>
          </c:extLst>
        </c:ser>
        <c:ser>
          <c:idx val="2"/>
          <c:order val="2"/>
          <c:tx>
            <c:strRef>
              <c:f>'Задание 8'!$H$44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8'!$I$41:$J$41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'Задание 8'!$I$44:$J$44</c:f>
              <c:numCache>
                <c:formatCode>General</c:formatCode>
                <c:ptCount val="2"/>
                <c:pt idx="0">
                  <c:v>-4900</c:v>
                </c:pt>
                <c:pt idx="1">
                  <c:v>-1966.6666666666665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88-4A4F-A303-470673A642AD}"/>
            </c:ext>
          </c:extLst>
        </c:ser>
        <c:ser>
          <c:idx val="3"/>
          <c:order val="3"/>
          <c:tx>
            <c:strRef>
              <c:f>'Задание 8'!$H$45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8'!$I$41:$J$41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'Задание 8'!$I$45:$J$45</c:f>
              <c:numCache>
                <c:formatCode>General</c:formatCode>
                <c:ptCount val="2"/>
                <c:pt idx="0">
                  <c:v>-5800</c:v>
                </c:pt>
                <c:pt idx="1">
                  <c:v>-5720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88-4A4F-A303-470673A64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87808"/>
        <c:axId val="1166286368"/>
      </c:scatterChart>
      <c:valAx>
        <c:axId val="116628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286368"/>
        <c:crosses val="autoZero"/>
        <c:crossBetween val="midCat"/>
      </c:valAx>
      <c:valAx>
        <c:axId val="11662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28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</xdr:colOff>
      <xdr:row>14</xdr:row>
      <xdr:rowOff>60960</xdr:rowOff>
    </xdr:from>
    <xdr:to>
      <xdr:col>10</xdr:col>
      <xdr:colOff>529590</xdr:colOff>
      <xdr:row>30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74EF85-BFBB-296F-BC99-3C0861F8B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712470</xdr:colOff>
      <xdr:row>46</xdr:row>
      <xdr:rowOff>0</xdr:rowOff>
    </xdr:from>
    <xdr:to>
      <xdr:col>10</xdr:col>
      <xdr:colOff>514350</xdr:colOff>
      <xdr:row>61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67B94F-8BF0-CE5C-AA0F-F95E5EAE3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topLeftCell="A14" workbookViewId="0">
      <selection activeCell="A27" sqref="A27"/>
    </sheetView>
  </sheetViews>
  <sheetFormatPr defaultRowHeight="13.8"/>
  <cols>
    <col min="1" max="1" width="29.8984375" customWidth="1"/>
    <col min="2" max="2" width="19.09765625" customWidth="1"/>
    <col min="4" max="4" width="13.3984375" customWidth="1"/>
    <col min="5" max="5" width="15.796875" customWidth="1"/>
    <col min="7" max="7" width="9.5" customWidth="1"/>
    <col min="8" max="8" width="19.09765625" customWidth="1"/>
    <col min="9" max="9" width="17.19921875" customWidth="1"/>
    <col min="10" max="10" width="16.796875" customWidth="1"/>
    <col min="12" max="12" width="19.69921875" customWidth="1"/>
  </cols>
  <sheetData>
    <row r="1" spans="1:14" ht="17.39999999999999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t="s">
        <v>1</v>
      </c>
    </row>
    <row r="4" spans="1:14">
      <c r="A4" s="1" t="s">
        <v>2</v>
      </c>
      <c r="B4" s="1" t="s">
        <v>82</v>
      </c>
      <c r="C4" s="1" t="s">
        <v>3</v>
      </c>
      <c r="E4" t="s">
        <v>4</v>
      </c>
      <c r="F4" t="s">
        <v>5</v>
      </c>
    </row>
    <row r="5" spans="1:14">
      <c r="A5" t="s">
        <v>6</v>
      </c>
      <c r="B5">
        <v>0</v>
      </c>
      <c r="C5">
        <v>-20000</v>
      </c>
      <c r="E5" t="s">
        <v>7</v>
      </c>
      <c r="F5">
        <v>0.3</v>
      </c>
    </row>
    <row r="6" spans="1:14">
      <c r="A6" t="s">
        <v>8</v>
      </c>
      <c r="B6">
        <v>-500</v>
      </c>
      <c r="C6">
        <v>-10500</v>
      </c>
      <c r="E6" t="s">
        <v>9</v>
      </c>
      <c r="F6">
        <v>0.5</v>
      </c>
    </row>
    <row r="7" spans="1:14">
      <c r="A7" t="s">
        <v>10</v>
      </c>
      <c r="B7">
        <v>-900</v>
      </c>
      <c r="C7">
        <v>-4900</v>
      </c>
      <c r="E7" t="s">
        <v>11</v>
      </c>
      <c r="F7">
        <v>0.73333333333333328</v>
      </c>
    </row>
    <row r="8" spans="1:14">
      <c r="A8" t="s">
        <v>12</v>
      </c>
      <c r="B8">
        <v>-5800</v>
      </c>
      <c r="C8">
        <v>-5500</v>
      </c>
      <c r="E8" t="s">
        <v>13</v>
      </c>
      <c r="F8">
        <v>0.26666666666666666</v>
      </c>
      <c r="I8" t="s">
        <v>85</v>
      </c>
    </row>
    <row r="9" spans="1:14">
      <c r="D9" t="s">
        <v>83</v>
      </c>
      <c r="I9" t="s">
        <v>84</v>
      </c>
      <c r="J9" t="s">
        <v>86</v>
      </c>
      <c r="K9" t="s">
        <v>87</v>
      </c>
      <c r="L9" t="s">
        <v>88</v>
      </c>
    </row>
    <row r="10" spans="1:14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1"/>
      <c r="N10" s="1"/>
    </row>
    <row r="11" spans="1:14">
      <c r="A11" t="s">
        <v>6</v>
      </c>
      <c r="B11">
        <v>0</v>
      </c>
      <c r="C11">
        <v>-20000</v>
      </c>
      <c r="D11">
        <v>-6000</v>
      </c>
      <c r="E11">
        <v>0</v>
      </c>
      <c r="F11">
        <v>15100</v>
      </c>
      <c r="G11">
        <v>15100</v>
      </c>
      <c r="H11">
        <v>-5333.333333333333</v>
      </c>
      <c r="I11">
        <v>-6666.6666666666661</v>
      </c>
      <c r="J11">
        <v>-13333.333333333332</v>
      </c>
      <c r="K11">
        <v>-10000</v>
      </c>
      <c r="L11">
        <v>-12666.666666666666</v>
      </c>
    </row>
    <row r="12" spans="1:14">
      <c r="A12" t="s">
        <v>8</v>
      </c>
      <c r="B12">
        <v>-500</v>
      </c>
      <c r="C12">
        <v>-10500</v>
      </c>
      <c r="D12">
        <v>-3500</v>
      </c>
      <c r="E12">
        <v>500</v>
      </c>
      <c r="F12">
        <v>5600</v>
      </c>
      <c r="G12">
        <v>5600</v>
      </c>
      <c r="H12">
        <v>-3166.6666666666665</v>
      </c>
      <c r="I12">
        <v>-3833.3333333333335</v>
      </c>
      <c r="J12">
        <v>-7166.666666666667</v>
      </c>
      <c r="K12">
        <v>-5500</v>
      </c>
      <c r="L12">
        <v>-6833.333333333333</v>
      </c>
    </row>
    <row r="13" spans="1:14">
      <c r="A13" t="s">
        <v>10</v>
      </c>
      <c r="B13">
        <v>-900</v>
      </c>
      <c r="C13">
        <v>-4900</v>
      </c>
      <c r="D13">
        <v>-2100</v>
      </c>
      <c r="E13">
        <v>900</v>
      </c>
      <c r="F13">
        <v>0</v>
      </c>
      <c r="G13">
        <v>900</v>
      </c>
      <c r="H13">
        <v>-1966.6666666666667</v>
      </c>
      <c r="I13">
        <v>-2233.333333333333</v>
      </c>
      <c r="J13">
        <v>-3566.6666666666665</v>
      </c>
      <c r="K13">
        <v>-2900</v>
      </c>
      <c r="L13">
        <v>-3433.3333333333335</v>
      </c>
    </row>
    <row r="14" spans="1:14">
      <c r="A14" t="s">
        <v>26</v>
      </c>
      <c r="B14">
        <v>-5500</v>
      </c>
      <c r="C14">
        <v>-5800</v>
      </c>
      <c r="D14">
        <v>-5590</v>
      </c>
      <c r="E14">
        <v>5800</v>
      </c>
      <c r="F14">
        <v>600</v>
      </c>
      <c r="G14">
        <v>5800</v>
      </c>
      <c r="H14">
        <v>-5720</v>
      </c>
      <c r="I14">
        <v>-5700</v>
      </c>
      <c r="J14">
        <v>-5600</v>
      </c>
      <c r="K14">
        <v>-5650</v>
      </c>
      <c r="L14">
        <v>-5760</v>
      </c>
    </row>
    <row r="17" spans="1:32">
      <c r="A17" s="1" t="s">
        <v>27</v>
      </c>
      <c r="B17" s="1" t="s">
        <v>28</v>
      </c>
      <c r="C17" s="1" t="s">
        <v>29</v>
      </c>
    </row>
    <row r="18" spans="1:32">
      <c r="A18" t="s">
        <v>30</v>
      </c>
      <c r="B18">
        <v>0</v>
      </c>
      <c r="C18" t="s">
        <v>6</v>
      </c>
    </row>
    <row r="19" spans="1:32">
      <c r="A19" t="s">
        <v>31</v>
      </c>
      <c r="B19">
        <v>-4900</v>
      </c>
      <c r="C19" t="s">
        <v>10</v>
      </c>
      <c r="AF19">
        <v>1</v>
      </c>
    </row>
    <row r="20" spans="1:32">
      <c r="A20" t="s">
        <v>32</v>
      </c>
      <c r="B20">
        <v>-2100</v>
      </c>
      <c r="C20" t="s">
        <v>10</v>
      </c>
    </row>
    <row r="21" spans="1:32">
      <c r="A21" t="s">
        <v>33</v>
      </c>
      <c r="B21">
        <v>900</v>
      </c>
      <c r="C21" t="s">
        <v>10</v>
      </c>
    </row>
    <row r="22" spans="1:32">
      <c r="A22" t="s">
        <v>34</v>
      </c>
      <c r="B22">
        <v>-1966.6666666666667</v>
      </c>
      <c r="C22" t="s">
        <v>10</v>
      </c>
    </row>
    <row r="23" spans="1:32">
      <c r="A23" t="s">
        <v>35</v>
      </c>
      <c r="B23">
        <v>-2233.333333333333</v>
      </c>
      <c r="C23" t="s">
        <v>10</v>
      </c>
    </row>
    <row r="24" spans="1:32">
      <c r="A24" t="s">
        <v>36</v>
      </c>
      <c r="B24">
        <v>-3566.6666666666665</v>
      </c>
      <c r="C24" t="s">
        <v>10</v>
      </c>
    </row>
    <row r="25" spans="1:32">
      <c r="A25" t="s">
        <v>37</v>
      </c>
      <c r="B25">
        <v>-2900</v>
      </c>
      <c r="C25" t="s">
        <v>10</v>
      </c>
    </row>
    <row r="26" spans="1:32">
      <c r="A26" t="s">
        <v>38</v>
      </c>
      <c r="B26">
        <v>-3433.3333333333335</v>
      </c>
      <c r="C26" t="s">
        <v>10</v>
      </c>
    </row>
    <row r="28" spans="1:32">
      <c r="A28" t="s">
        <v>39</v>
      </c>
    </row>
    <row r="29" spans="1:32">
      <c r="A29" t="s">
        <v>40</v>
      </c>
    </row>
    <row r="32" spans="1:32">
      <c r="A32" t="s">
        <v>41</v>
      </c>
      <c r="E32" t="s">
        <v>42</v>
      </c>
      <c r="H32" s="4" t="s">
        <v>89</v>
      </c>
      <c r="I32" s="5">
        <v>0</v>
      </c>
      <c r="J32" s="5">
        <v>0.05</v>
      </c>
      <c r="K32" s="5">
        <f>1/15</f>
        <v>6.6666666666666666E-2</v>
      </c>
      <c r="L32" s="4">
        <v>1</v>
      </c>
    </row>
    <row r="33" spans="1:12">
      <c r="A33" s="1" t="s">
        <v>43</v>
      </c>
      <c r="B33" s="1" t="s">
        <v>14</v>
      </c>
      <c r="C33" s="1" t="s">
        <v>44</v>
      </c>
      <c r="E33" t="s">
        <v>45</v>
      </c>
      <c r="F33" t="s">
        <v>46</v>
      </c>
      <c r="H33" s="4" t="s">
        <v>90</v>
      </c>
      <c r="I33" s="5">
        <f>-20000*I32</f>
        <v>0</v>
      </c>
      <c r="J33" s="5">
        <f t="shared" ref="J33:L33" si="0">-20000*J32</f>
        <v>-1000</v>
      </c>
      <c r="K33" s="5">
        <f t="shared" si="0"/>
        <v>-1333.3333333333333</v>
      </c>
      <c r="L33" s="5">
        <f t="shared" si="0"/>
        <v>-20000</v>
      </c>
    </row>
    <row r="34" spans="1:12">
      <c r="A34" t="s">
        <v>47</v>
      </c>
      <c r="B34" t="s">
        <v>48</v>
      </c>
      <c r="C34" t="s">
        <v>49</v>
      </c>
      <c r="E34" t="s">
        <v>50</v>
      </c>
      <c r="F34" t="s">
        <v>51</v>
      </c>
      <c r="H34" s="4" t="s">
        <v>91</v>
      </c>
      <c r="I34" s="5">
        <f>-500-10000*I32</f>
        <v>-500</v>
      </c>
      <c r="J34" s="5">
        <f t="shared" ref="J34:K34" si="1">-500-10000*J32</f>
        <v>-1000</v>
      </c>
      <c r="K34" s="5">
        <f t="shared" si="1"/>
        <v>-1166.6666666666665</v>
      </c>
      <c r="L34" s="5">
        <f t="shared" ref="L34" si="2">-500-10000*L32</f>
        <v>-10500</v>
      </c>
    </row>
    <row r="35" spans="1:12">
      <c r="A35" t="s">
        <v>52</v>
      </c>
      <c r="B35" t="s">
        <v>53</v>
      </c>
      <c r="C35" t="s">
        <v>54</v>
      </c>
      <c r="E35" t="s">
        <v>55</v>
      </c>
      <c r="F35" t="s">
        <v>56</v>
      </c>
      <c r="H35" s="4" t="s">
        <v>93</v>
      </c>
      <c r="I35" s="5">
        <f>-900-4000*I32</f>
        <v>-900</v>
      </c>
      <c r="J35" s="5">
        <f t="shared" ref="J35:K35" si="3">-900-4000*J32</f>
        <v>-1100</v>
      </c>
      <c r="K35" s="5">
        <f t="shared" si="3"/>
        <v>-1166.6666666666667</v>
      </c>
      <c r="L35" s="5">
        <f t="shared" ref="L35" si="4">-900-4000*L32</f>
        <v>-4900</v>
      </c>
    </row>
    <row r="36" spans="1:12">
      <c r="A36" t="s">
        <v>57</v>
      </c>
      <c r="B36" t="s">
        <v>58</v>
      </c>
      <c r="C36" t="s">
        <v>59</v>
      </c>
      <c r="E36" t="s">
        <v>60</v>
      </c>
      <c r="F36" t="s">
        <v>61</v>
      </c>
      <c r="H36" s="4" t="s">
        <v>92</v>
      </c>
      <c r="I36" s="5">
        <f>-5500-300*I32</f>
        <v>-5500</v>
      </c>
      <c r="J36" s="5">
        <f t="shared" ref="J36:K36" si="5">-5500-300*J32</f>
        <v>-5515</v>
      </c>
      <c r="K36" s="5">
        <f t="shared" si="5"/>
        <v>-5520</v>
      </c>
      <c r="L36" s="5">
        <f t="shared" ref="L36" si="6">-5500-300*L32</f>
        <v>-5800</v>
      </c>
    </row>
    <row r="37" spans="1:12">
      <c r="A37" t="s">
        <v>62</v>
      </c>
      <c r="B37" t="s">
        <v>63</v>
      </c>
      <c r="C37" t="s">
        <v>64</v>
      </c>
      <c r="I37" s="3"/>
      <c r="J37" s="3"/>
      <c r="K37" s="3"/>
    </row>
    <row r="38" spans="1:12">
      <c r="A38" t="s">
        <v>65</v>
      </c>
      <c r="B38" t="s">
        <v>66</v>
      </c>
      <c r="C38" t="s">
        <v>67</v>
      </c>
      <c r="I38" s="3"/>
      <c r="J38" s="3"/>
      <c r="K38" s="3"/>
    </row>
    <row r="39" spans="1:12">
      <c r="I39" s="3"/>
      <c r="J39" s="3"/>
      <c r="K39" s="3"/>
    </row>
    <row r="40" spans="1:12">
      <c r="I40" s="3"/>
      <c r="J40" s="3"/>
      <c r="K40" s="3"/>
    </row>
    <row r="41" spans="1:12">
      <c r="A41" t="s">
        <v>68</v>
      </c>
      <c r="E41" t="s">
        <v>69</v>
      </c>
      <c r="H41" s="4" t="s">
        <v>89</v>
      </c>
      <c r="I41" s="5">
        <v>0</v>
      </c>
      <c r="J41" s="5">
        <v>1</v>
      </c>
      <c r="K41" s="3"/>
    </row>
    <row r="42" spans="1:12">
      <c r="A42" s="1" t="s">
        <v>70</v>
      </c>
      <c r="B42" s="1" t="s">
        <v>29</v>
      </c>
      <c r="C42" s="1" t="s">
        <v>71</v>
      </c>
      <c r="E42" t="s">
        <v>72</v>
      </c>
      <c r="F42" t="s">
        <v>73</v>
      </c>
      <c r="H42" s="4" t="s">
        <v>90</v>
      </c>
      <c r="I42" s="4">
        <f>-20000+(44000/3)*I41</f>
        <v>-20000</v>
      </c>
      <c r="J42" s="4">
        <f>-20000+(44000/3)*J41</f>
        <v>-5333.3333333333339</v>
      </c>
    </row>
    <row r="43" spans="1:12">
      <c r="A43" t="s">
        <v>74</v>
      </c>
      <c r="B43" t="s">
        <v>66</v>
      </c>
      <c r="C43" t="s">
        <v>75</v>
      </c>
      <c r="E43" t="s">
        <v>76</v>
      </c>
      <c r="F43" t="s">
        <v>77</v>
      </c>
      <c r="H43" s="4" t="s">
        <v>91</v>
      </c>
      <c r="I43" s="4">
        <f>-10500+(22000/3)*I41</f>
        <v>-10500</v>
      </c>
      <c r="J43" s="4">
        <f>-10500+(22000/3)*J41</f>
        <v>-3166.666666666667</v>
      </c>
    </row>
    <row r="44" spans="1:12">
      <c r="E44" t="s">
        <v>78</v>
      </c>
      <c r="F44" t="s">
        <v>79</v>
      </c>
      <c r="H44" s="4" t="s">
        <v>93</v>
      </c>
      <c r="I44" s="4">
        <f>-4900+(8800/3)*I41</f>
        <v>-4900</v>
      </c>
      <c r="J44" s="4">
        <f>-4900+(8800/3)*J41</f>
        <v>-1966.6666666666665</v>
      </c>
    </row>
    <row r="45" spans="1:12">
      <c r="E45" t="s">
        <v>80</v>
      </c>
      <c r="F45" t="s">
        <v>81</v>
      </c>
      <c r="H45" s="4" t="s">
        <v>92</v>
      </c>
      <c r="I45" s="4">
        <f>-5800+80*I41</f>
        <v>-5800</v>
      </c>
      <c r="J45" s="4">
        <f>-5800+80*J41</f>
        <v>-5720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3BE3DA</cp:lastModifiedBy>
  <dcterms:modified xsi:type="dcterms:W3CDTF">2026-04-28T14:11:21Z</dcterms:modified>
</cp:coreProperties>
</file>