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3BE3DA\maga\2_sem\SSPRP\"/>
    </mc:Choice>
  </mc:AlternateContent>
  <xr:revisionPtr revIDLastSave="0" documentId="13_ncr:1_{A9F0B7D5-C338-4D8C-B961-3C68B7D96D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C35" i="1"/>
  <c r="D35" i="1"/>
  <c r="E35" i="1"/>
  <c r="B35" i="1"/>
  <c r="C31" i="1"/>
  <c r="D31" i="1"/>
  <c r="E31" i="1"/>
  <c r="B31" i="1"/>
  <c r="F7" i="1"/>
  <c r="E27" i="1"/>
  <c r="D27" i="1"/>
  <c r="C27" i="1"/>
  <c r="B27" i="1"/>
  <c r="D24" i="1"/>
  <c r="C21" i="1"/>
  <c r="D21" i="1"/>
  <c r="E21" i="1"/>
  <c r="B21" i="1"/>
  <c r="F21" i="1" s="1"/>
  <c r="F14" i="1"/>
  <c r="C14" i="1"/>
  <c r="D14" i="1"/>
  <c r="E14" i="1"/>
  <c r="B14" i="1"/>
  <c r="C7" i="1"/>
  <c r="D7" i="1"/>
  <c r="E7" i="1"/>
  <c r="B7" i="1"/>
</calcChain>
</file>

<file path=xl/sharedStrings.xml><?xml version="1.0" encoding="utf-8"?>
<sst xmlns="http://schemas.openxmlformats.org/spreadsheetml/2006/main" count="56" uniqueCount="15">
  <si>
    <t>Потапов</t>
  </si>
  <si>
    <t>Зеневич</t>
  </si>
  <si>
    <t>Журавлев</t>
  </si>
  <si>
    <t>Гаджиев</t>
  </si>
  <si>
    <t>степень</t>
  </si>
  <si>
    <t>посещаемость</t>
  </si>
  <si>
    <t>успеваемость</t>
  </si>
  <si>
    <t>харизма</t>
  </si>
  <si>
    <t>критерии</t>
  </si>
  <si>
    <t>Решение при равновесных критериях</t>
  </si>
  <si>
    <t>Решение при неравновесных критериях</t>
  </si>
  <si>
    <t>4 место</t>
  </si>
  <si>
    <t>3 место</t>
  </si>
  <si>
    <t>2 место</t>
  </si>
  <si>
    <t>1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</si>
</sst>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2" xfId="0" applyBorder="1"/>
    <xf numFmtId="0" fontId="0" fillId="0" borderId="1" xfId="0" applyBorder="1"/>
    <xf numFmtId="2" fontId="0" fillId="2" borderId="0" xfId="0" applyNumberFormat="1" applyFill="1"/>
    <xf numFmtId="0" fontId="0" fillId="3" borderId="0" xfId="0" applyFill="1"/>
    <xf numFmtId="0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6"/>
  <sheetViews>
    <sheetView tabSelected="1" workbookViewId="0">
      <selection activeCell="H31" sqref="H31"/>
    </sheetView>
  </sheetViews>
  <sheetFormatPr defaultRowHeight="14.4" x14ac:dyDescent="0.3"/>
  <cols>
    <col min="1" max="1" width="14.109375" customWidth="1"/>
    <col min="2" max="2" width="13.109375" customWidth="1"/>
    <col min="3" max="3" width="13.88671875" customWidth="1"/>
    <col min="4" max="4" width="13" customWidth="1"/>
    <col min="5" max="5" width="12.77734375" customWidth="1"/>
  </cols>
  <sheetData>
    <row r="2" spans="1:6" x14ac:dyDescent="0.3">
      <c r="A2" s="4" t="s">
        <v>6</v>
      </c>
      <c r="B2" s="3" t="s">
        <v>0</v>
      </c>
      <c r="C2" s="4" t="s">
        <v>1</v>
      </c>
      <c r="D2" s="4" t="s">
        <v>2</v>
      </c>
      <c r="E2" s="4" t="s">
        <v>3</v>
      </c>
    </row>
    <row r="3" spans="1:6" x14ac:dyDescent="0.3">
      <c r="A3" s="4" t="s">
        <v>0</v>
      </c>
      <c r="B3" s="1">
        <v>1</v>
      </c>
      <c r="C3" s="1">
        <v>1.8</v>
      </c>
      <c r="D3" s="1">
        <v>0.2</v>
      </c>
      <c r="E3" s="1">
        <v>0.4</v>
      </c>
    </row>
    <row r="4" spans="1:6" x14ac:dyDescent="0.3">
      <c r="A4" s="4" t="s">
        <v>1</v>
      </c>
      <c r="B4" s="1">
        <v>0.55555555555555558</v>
      </c>
      <c r="C4" s="1">
        <v>1</v>
      </c>
      <c r="D4" s="1">
        <v>0.1111111111111111</v>
      </c>
      <c r="E4" s="1">
        <v>0.22222222222222221</v>
      </c>
    </row>
    <row r="5" spans="1:6" x14ac:dyDescent="0.3">
      <c r="A5" s="4" t="s">
        <v>2</v>
      </c>
      <c r="B5" s="1">
        <v>5</v>
      </c>
      <c r="C5" s="1">
        <v>9</v>
      </c>
      <c r="D5" s="1">
        <v>1</v>
      </c>
      <c r="E5" s="1">
        <v>2</v>
      </c>
    </row>
    <row r="6" spans="1:6" x14ac:dyDescent="0.3">
      <c r="A6" s="4" t="s">
        <v>3</v>
      </c>
      <c r="B6" s="1">
        <v>2.5</v>
      </c>
      <c r="C6" s="1">
        <v>4.5</v>
      </c>
      <c r="D6" s="1">
        <v>0.5</v>
      </c>
      <c r="E6" s="1">
        <v>1</v>
      </c>
    </row>
    <row r="7" spans="1:6" x14ac:dyDescent="0.3">
      <c r="A7" s="2" t="s">
        <v>4</v>
      </c>
      <c r="B7" s="2">
        <f>1/SUM(B3:B6)</f>
        <v>0.11042944785276074</v>
      </c>
      <c r="C7" s="2">
        <f t="shared" ref="C7:E7" si="0">1/SUM(C3:C6)</f>
        <v>6.1349693251533742E-2</v>
      </c>
      <c r="D7" s="2">
        <f t="shared" si="0"/>
        <v>0.55214723926380371</v>
      </c>
      <c r="E7" s="2">
        <f t="shared" si="0"/>
        <v>0.27607361963190186</v>
      </c>
      <c r="F7" s="6">
        <f>SUM(B7:E7)</f>
        <v>1</v>
      </c>
    </row>
    <row r="9" spans="1:6" x14ac:dyDescent="0.3">
      <c r="A9" s="4" t="s">
        <v>5</v>
      </c>
      <c r="B9" s="3" t="s">
        <v>0</v>
      </c>
      <c r="C9" s="4" t="s">
        <v>1</v>
      </c>
      <c r="D9" s="4" t="s">
        <v>2</v>
      </c>
      <c r="E9" s="4" t="s">
        <v>3</v>
      </c>
    </row>
    <row r="10" spans="1:6" x14ac:dyDescent="0.3">
      <c r="A10" s="4" t="s">
        <v>0</v>
      </c>
      <c r="B10" s="1">
        <v>1</v>
      </c>
      <c r="C10" s="1">
        <v>0.8571428571428571</v>
      </c>
      <c r="D10" s="1">
        <v>0.14285714285714285</v>
      </c>
      <c r="E10" s="1">
        <v>0.5714285714285714</v>
      </c>
    </row>
    <row r="11" spans="1:6" x14ac:dyDescent="0.3">
      <c r="A11" s="4" t="s">
        <v>1</v>
      </c>
      <c r="B11" s="1">
        <v>1.1666666666666667</v>
      </c>
      <c r="C11" s="1">
        <v>1</v>
      </c>
      <c r="D11" s="1">
        <v>0.16666666666666666</v>
      </c>
      <c r="E11" s="1">
        <v>0.66666666666666663</v>
      </c>
    </row>
    <row r="12" spans="1:6" x14ac:dyDescent="0.3">
      <c r="A12" s="4" t="s">
        <v>2</v>
      </c>
      <c r="B12" s="1">
        <v>7</v>
      </c>
      <c r="C12" s="1">
        <v>6</v>
      </c>
      <c r="D12" s="1">
        <v>1</v>
      </c>
      <c r="E12" s="1">
        <v>4</v>
      </c>
    </row>
    <row r="13" spans="1:6" x14ac:dyDescent="0.3">
      <c r="A13" s="4" t="s">
        <v>3</v>
      </c>
      <c r="B13" s="1">
        <v>1.75</v>
      </c>
      <c r="C13" s="1">
        <v>1.5</v>
      </c>
      <c r="D13" s="1">
        <v>0.25</v>
      </c>
      <c r="E13" s="1">
        <v>1</v>
      </c>
    </row>
    <row r="14" spans="1:6" x14ac:dyDescent="0.3">
      <c r="A14" s="2" t="s">
        <v>4</v>
      </c>
      <c r="B14" s="2">
        <f>1/SUM(B10:B13)</f>
        <v>9.160305343511449E-2</v>
      </c>
      <c r="C14" s="2">
        <f t="shared" ref="C14:E14" si="1">1/SUM(C10:C13)</f>
        <v>0.10687022900763359</v>
      </c>
      <c r="D14" s="2">
        <f t="shared" si="1"/>
        <v>0.64122137404580148</v>
      </c>
      <c r="E14" s="2">
        <f t="shared" si="1"/>
        <v>0.16030534351145037</v>
      </c>
      <c r="F14" s="6">
        <f>SUM(B14:E14)</f>
        <v>1</v>
      </c>
    </row>
    <row r="16" spans="1:6" x14ac:dyDescent="0.3">
      <c r="A16" s="4" t="s">
        <v>7</v>
      </c>
      <c r="B16" s="3" t="s">
        <v>0</v>
      </c>
      <c r="C16" s="4" t="s">
        <v>1</v>
      </c>
      <c r="D16" s="4" t="s">
        <v>2</v>
      </c>
      <c r="E16" s="4" t="s">
        <v>3</v>
      </c>
    </row>
    <row r="17" spans="1:6" x14ac:dyDescent="0.3">
      <c r="A17" s="4" t="s">
        <v>0</v>
      </c>
      <c r="B17" s="1">
        <v>1</v>
      </c>
      <c r="C17" s="1">
        <v>0.14285714285714285</v>
      </c>
      <c r="D17" s="1">
        <v>1.2857142857142858</v>
      </c>
      <c r="E17" s="1">
        <v>0.8571428571428571</v>
      </c>
    </row>
    <row r="18" spans="1:6" x14ac:dyDescent="0.3">
      <c r="A18" s="4" t="s">
        <v>1</v>
      </c>
      <c r="B18" s="1">
        <v>7</v>
      </c>
      <c r="C18" s="1">
        <v>1</v>
      </c>
      <c r="D18" s="1">
        <v>9</v>
      </c>
      <c r="E18" s="1">
        <v>6</v>
      </c>
    </row>
    <row r="19" spans="1:6" x14ac:dyDescent="0.3">
      <c r="A19" s="4" t="s">
        <v>2</v>
      </c>
      <c r="B19" s="1">
        <v>0.77777777777777779</v>
      </c>
      <c r="C19" s="1">
        <v>0.1111111111111111</v>
      </c>
      <c r="D19" s="1">
        <v>1</v>
      </c>
      <c r="E19" s="1">
        <v>0.66666666666666663</v>
      </c>
    </row>
    <row r="20" spans="1:6" x14ac:dyDescent="0.3">
      <c r="A20" s="4" t="s">
        <v>3</v>
      </c>
      <c r="B20" s="1">
        <v>1.1666666666666667</v>
      </c>
      <c r="C20" s="1">
        <v>0.16666666666666666</v>
      </c>
      <c r="D20" s="1">
        <v>1.5</v>
      </c>
      <c r="E20" s="1">
        <v>1</v>
      </c>
    </row>
    <row r="21" spans="1:6" x14ac:dyDescent="0.3">
      <c r="A21" s="2" t="s">
        <v>4</v>
      </c>
      <c r="B21" s="5">
        <f>1/SUM(B17:B20)</f>
        <v>0.10055865921787709</v>
      </c>
      <c r="C21" s="5">
        <f t="shared" ref="C21:E21" si="2">1/SUM(C17:C20)</f>
        <v>0.70391061452513959</v>
      </c>
      <c r="D21" s="5">
        <f t="shared" si="2"/>
        <v>7.8212290502793297E-2</v>
      </c>
      <c r="E21" s="5">
        <f t="shared" si="2"/>
        <v>0.11731843575418995</v>
      </c>
      <c r="F21" s="7">
        <f>SUM(B21:E21)</f>
        <v>1</v>
      </c>
    </row>
    <row r="23" spans="1:6" x14ac:dyDescent="0.3">
      <c r="A23" s="4" t="s">
        <v>8</v>
      </c>
      <c r="B23" s="3" t="s">
        <v>6</v>
      </c>
      <c r="C23" s="4" t="s">
        <v>5</v>
      </c>
      <c r="D23" s="4" t="s">
        <v>7</v>
      </c>
    </row>
    <row r="24" spans="1:6" x14ac:dyDescent="0.3">
      <c r="A24" s="4" t="s">
        <v>6</v>
      </c>
      <c r="B24" s="1">
        <v>1</v>
      </c>
      <c r="C24" s="1">
        <v>7</v>
      </c>
      <c r="D24" s="1">
        <f>D25/B25</f>
        <v>0.77777777777777779</v>
      </c>
    </row>
    <row r="25" spans="1:6" x14ac:dyDescent="0.3">
      <c r="A25" s="4" t="s">
        <v>5</v>
      </c>
      <c r="B25" s="1">
        <v>0.14285714285714285</v>
      </c>
      <c r="C25" s="1">
        <v>1</v>
      </c>
      <c r="D25" s="1">
        <v>0.1111111111111111</v>
      </c>
    </row>
    <row r="26" spans="1:6" x14ac:dyDescent="0.3">
      <c r="A26" s="4" t="s">
        <v>7</v>
      </c>
      <c r="B26" s="1">
        <f>B25/D25</f>
        <v>1.2857142857142858</v>
      </c>
      <c r="C26" s="1">
        <v>9</v>
      </c>
      <c r="D26" s="1">
        <v>1</v>
      </c>
    </row>
    <row r="27" spans="1:6" x14ac:dyDescent="0.3">
      <c r="A27" s="2" t="s">
        <v>4</v>
      </c>
      <c r="B27" s="2">
        <f>1/SUM(B24:B26)</f>
        <v>0.41176470588235292</v>
      </c>
      <c r="C27" s="2">
        <f>1/SUM(C24:C26)</f>
        <v>5.8823529411764705E-2</v>
      </c>
      <c r="D27" s="2">
        <f>1/SUM(D24:D26)</f>
        <v>0.52941176470588236</v>
      </c>
      <c r="E27" s="6">
        <f>SUM(B27:D27)</f>
        <v>1</v>
      </c>
    </row>
    <row r="29" spans="1:6" x14ac:dyDescent="0.3">
      <c r="A29" t="s">
        <v>9</v>
      </c>
    </row>
    <row r="30" spans="1:6" x14ac:dyDescent="0.3">
      <c r="B30" s="4" t="s">
        <v>0</v>
      </c>
      <c r="C30" s="4" t="s">
        <v>1</v>
      </c>
      <c r="D30" s="4" t="s">
        <v>2</v>
      </c>
      <c r="E30" s="4" t="s">
        <v>3</v>
      </c>
    </row>
    <row r="31" spans="1:6" x14ac:dyDescent="0.3">
      <c r="B31" s="1">
        <f>MIN(B7,B14,B21)</f>
        <v>9.160305343511449E-2</v>
      </c>
      <c r="C31" s="1">
        <f t="shared" ref="C31:E31" si="3">MIN(C7,C14,C21)</f>
        <v>6.1349693251533742E-2</v>
      </c>
      <c r="D31" s="1">
        <f t="shared" si="3"/>
        <v>7.8212290502793297E-2</v>
      </c>
      <c r="E31" s="1">
        <f t="shared" si="3"/>
        <v>0.11731843575418995</v>
      </c>
    </row>
    <row r="32" spans="1:6" x14ac:dyDescent="0.3">
      <c r="B32" t="s">
        <v>13</v>
      </c>
      <c r="C32" t="s">
        <v>11</v>
      </c>
      <c r="D32" t="s">
        <v>12</v>
      </c>
      <c r="E32" t="s">
        <v>14</v>
      </c>
    </row>
    <row r="33" spans="1:5" x14ac:dyDescent="0.3">
      <c r="A33" t="s">
        <v>10</v>
      </c>
    </row>
    <row r="34" spans="1:5" x14ac:dyDescent="0.3">
      <c r="B34" s="4" t="s">
        <v>0</v>
      </c>
      <c r="C34" s="4" t="s">
        <v>1</v>
      </c>
      <c r="D34" s="4" t="s">
        <v>2</v>
      </c>
      <c r="E34" s="4" t="s">
        <v>3</v>
      </c>
    </row>
    <row r="35" spans="1:5" x14ac:dyDescent="0.3">
      <c r="B35">
        <f>MIN(B7^$B$27, B14^$C$27, B21^$D$27)</f>
        <v>0.29639381268009679</v>
      </c>
      <c r="C35">
        <f t="shared" ref="C35:E35" si="4">MIN(C7^$B$27, C14^$C$27, C21^$D$27)</f>
        <v>0.3168574535165693</v>
      </c>
      <c r="D35">
        <f t="shared" si="4"/>
        <v>0.25946977019966977</v>
      </c>
      <c r="E35">
        <f t="shared" si="4"/>
        <v>0.32159667610067538</v>
      </c>
    </row>
    <row r="36" spans="1:5" x14ac:dyDescent="0.3">
      <c r="B36" t="s">
        <v>12</v>
      </c>
      <c r="C36" t="s">
        <v>13</v>
      </c>
      <c r="D36" t="s">
        <v>11</v>
      </c>
      <c r="E3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3BE3DA</dc:creator>
  <cp:lastModifiedBy>3BE3DA</cp:lastModifiedBy>
  <dcterms:created xsi:type="dcterms:W3CDTF">2015-06-05T18:17:20Z</dcterms:created>
  <dcterms:modified xsi:type="dcterms:W3CDTF">2026-02-17T15:54:47Z</dcterms:modified>
</cp:coreProperties>
</file>